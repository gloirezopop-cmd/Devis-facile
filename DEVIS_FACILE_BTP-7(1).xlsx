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98ee367b69e67b7d/Desktop/"/>
    </mc:Choice>
  </mc:AlternateContent>
  <xr:revisionPtr revIDLastSave="0" documentId="8_{22F59257-57B0-4B4A-9B61-AAF2BC2B08B0}" xr6:coauthVersionLast="47" xr6:coauthVersionMax="47" xr10:uidLastSave="{00000000-0000-0000-0000-000000000000}"/>
  <bookViews>
    <workbookView xWindow="-120" yWindow="-120" windowWidth="20730" windowHeight="11160" tabRatio="500" firstSheet="8" activeTab="10" xr2:uid="{00000000-000D-0000-FFFF-FFFF00000000}"/>
  </bookViews>
  <sheets>
    <sheet name="Notice" sheetId="1" r:id="rId1"/>
    <sheet name="Parametres" sheetId="2" r:id="rId2"/>
    <sheet name="Prix_Unitaires" sheetId="3" r:id="rId3"/>
    <sheet name="Fondation" sheetId="4" r:id="rId4"/>
    <sheet name="Elevation" sheetId="5" r:id="rId5"/>
    <sheet name="Dalle" sheetId="6" r:id="rId6"/>
    <sheet name="Finition" sheetId="7" r:id="rId7"/>
    <sheet name="Charpente_Couverture" sheetId="8" r:id="rId8"/>
    <sheet name="Sous_Detail_Prix" sheetId="9" r:id="rId9"/>
    <sheet name="Devis_Particulier" sheetId="10" r:id="rId10"/>
    <sheet name="Devis_Entreprise" sheetId="11" r:id="rId11"/>
  </sheets>
  <definedNames>
    <definedName name="CARREAUX_S1">Parametres!$C$106</definedName>
    <definedName name="CHAUX_M2_KG">Parametres!$C$102</definedName>
    <definedName name="CHEVRON_TRAV_V1">Parametres!$C$86</definedName>
    <definedName name="CIMENT_COLLE_KGM2">Parametres!$C$104</definedName>
    <definedName name="CLOUS_CHARPENTE_KGM3">Parametres!$C$94</definedName>
    <definedName name="CLOUS_COFFRAGE_KGM2">Parametres!$C$93</definedName>
    <definedName name="CLOUS_COUVERTURE_KGM2">Parametres!$C$95</definedName>
    <definedName name="COEF_GRAVIER_VOL">Parametres!$C$11</definedName>
    <definedName name="COEF_SABLE_MORTIER">Parametres!$C$18</definedName>
    <definedName name="COEF_SABLE_VOL">Parametres!$C$13</definedName>
    <definedName name="CROCHET">Parametres!$C$54</definedName>
    <definedName name="CT_TASSEMENT">Parametres!$C$74</definedName>
    <definedName name="DENSITE_BETON_FRAIS">Parametres!$C$78</definedName>
    <definedName name="DENSITE_GRAVIER">Parametres!$C$12</definedName>
    <definedName name="DENSITE_MOELLON">Parametres!$C$76</definedName>
    <definedName name="DENSITE_SABLE">Parametres!$C$14</definedName>
    <definedName name="DENSITE_TERRE">Parametres!$C$79</definedName>
    <definedName name="DOSAGE_MORTIER_MACONNERIE">Parametres!$C$22</definedName>
    <definedName name="EAU_PAR_DOSAGE">Parametres!$C$16</definedName>
    <definedName name="ENDUIT_CIMENT_KGM2">Parametres!$C$99</definedName>
    <definedName name="ENROBAGE">Parametres!$C$53</definedName>
    <definedName name="FAIENCE_S1">Parametres!$C$107</definedName>
    <definedName name="FIL_LIGATURE_PCT">Parametres!$C$55</definedName>
    <definedName name="JOINT_MACONNERIE">Parametres!$C$23</definedName>
    <definedName name="LONG_BARRE_COMMERCIALE">Parametres!$C$51</definedName>
    <definedName name="LONG_BARRE_UTILE">Parametres!$C$52</definedName>
    <definedName name="MAJORATION_ACHAT">Parametres!$C$75</definedName>
    <definedName name="MAJORATION_CARRELAGE">Parametres!$C$108</definedName>
    <definedName name="MOELLON_PCT_VOLUME">Parametres!$C$77</definedName>
    <definedName name="NB_COUCHES_PEINTURE">Parametres!$C$103</definedName>
    <definedName name="NUANCE_HA_DEFAUT">Parametres!$C$67</definedName>
    <definedName name="NUANCE_RL_DEFAUT">Parametres!$C$68</definedName>
    <definedName name="PEINTURE_CLASSIQUE_M2_L">Parametres!$C$101</definedName>
    <definedName name="PEINTURE_LATEX_M2_KG">Parametres!$C$100</definedName>
    <definedName name="PLANCHE_e">Parametres!$C$85</definedName>
    <definedName name="PLANCHE_L">Parametres!$C$83</definedName>
    <definedName name="PLANCHE_LARGEUR">Parametres!$C$84</definedName>
    <definedName name="POIDS_SAC_CIMENT">Parametres!$C$10</definedName>
    <definedName name="POIDS_VOL_ACIER">Parametres!$C$56</definedName>
    <definedName name="PU_AMENEE_REPLI">Prix_Unitaires!$D$75</definedName>
    <definedName name="PU_BLOC15">Prix_Unitaires!$D$41</definedName>
    <definedName name="PU_BLOC20">Prix_Unitaires!$D$42</definedName>
    <definedName name="PU_CARREAUX">Prix_Unitaires!$D$54</definedName>
    <definedName name="PU_CHAUX">Prix_Unitaires!$D$51</definedName>
    <definedName name="PU_CHEVRON">Prix_Unitaires!$D$39</definedName>
    <definedName name="PU_CIMENT">Prix_Unitaires!$D$10</definedName>
    <definedName name="PU_CIMENTCOLLE">Prix_Unitaires!$D$50</definedName>
    <definedName name="PU_CLOUS">Prix_Unitaires!$D$40</definedName>
    <definedName name="PU_DRESSEMENT_TABLEAUX">Prix_Unitaires!$D$85</definedName>
    <definedName name="PU_EAU">Prix_Unitaires!$D$14</definedName>
    <definedName name="PU_EVACUATION_DEBLAIS">Prix_Unitaires!$D$80</definedName>
    <definedName name="PU_FAIENCE">Prix_Unitaires!$D$55</definedName>
    <definedName name="PU_FIL">Prix_Unitaires!$D$33</definedName>
    <definedName name="PU_FORME_PENTE">Prix_Unitaires!$D$86</definedName>
    <definedName name="PU_FOUILLE_PUITS">Prix_Unitaires!$D$76</definedName>
    <definedName name="PU_FOUILLE_TRANCHEE">Prix_Unitaires!$D$77</definedName>
    <definedName name="PU_GRAVIER">Prix_Unitaires!$D$12</definedName>
    <definedName name="PU_HA10">Prix_Unitaires!$D$22</definedName>
    <definedName name="PU_HA12">Prix_Unitaires!$D$23</definedName>
    <definedName name="PU_HA14">Prix_Unitaires!$D$24</definedName>
    <definedName name="PU_HA16">Prix_Unitaires!$D$25</definedName>
    <definedName name="PU_HA6">Prix_Unitaires!$D$20</definedName>
    <definedName name="PU_HA8">Prix_Unitaires!$D$21</definedName>
    <definedName name="PU_HONO_ARCHI">Prix_Unitaires!$D$65</definedName>
    <definedName name="PU_HONO_ING">Prix_Unitaires!$D$66</definedName>
    <definedName name="PU_HOURDIS_12_4">Prix_Unitaires!$D$82</definedName>
    <definedName name="PU_HOURDIS_16_4">Prix_Unitaires!$D$83</definedName>
    <definedName name="PU_IMPREVUS">Prix_Unitaires!$D$63</definedName>
    <definedName name="PU_INSTALLATION">Prix_Unitaires!$D$60</definedName>
    <definedName name="PU_LATEX">Prix_Unitaires!$D$52</definedName>
    <definedName name="PU_MO_FINITION_POURCENT">Prix_Unitaires!$D$62</definedName>
    <definedName name="PU_MO_POURCENT">Prix_Unitaires!$D$61</definedName>
    <definedName name="PU_MOELLON">Prix_Unitaires!$D$13</definedName>
    <definedName name="PU_MUR_SOUBASSEMENT">Prix_Unitaires!$D$81</definedName>
    <definedName name="PU_PEINTURE_BOIS">Prix_Unitaires!$D$45</definedName>
    <definedName name="PU_PEINTURE_CL">Prix_Unitaires!$D$53</definedName>
    <definedName name="PU_PLANCHE">Prix_Unitaires!$D$38</definedName>
    <definedName name="PU_REMBLAI_DALLAGE">Prix_Unitaires!$D$78</definedName>
    <definedName name="PU_REMBLAI_FONDATION">Prix_Unitaires!$D$79</definedName>
    <definedName name="PU_RL10">Prix_Unitaires!$D$31</definedName>
    <definedName name="PU_RL12">Prix_Unitaires!$D$32</definedName>
    <definedName name="PU_RL6">Prix_Unitaires!$D$29</definedName>
    <definedName name="PU_RL8">Prix_Unitaires!$D$30</definedName>
    <definedName name="PU_SABLE">Prix_Unitaires!$D$11</definedName>
    <definedName name="PU_SCELLEMENT_HUISSERIE">Prix_Unitaires!$D$84</definedName>
    <definedName name="PU_TOLE">Prix_Unitaires!$D$43</definedName>
    <definedName name="PU_TOLE_FAIT">Prix_Unitaires!$D$44</definedName>
    <definedName name="PU_TRANSPORT">Prix_Unitaires!$D$64</definedName>
    <definedName name="PU_TVA">Prix_Unitaires!$D$67</definedName>
    <definedName name="RATIO_COFFRAGE_CHAINAGE">Parametres!$C$91</definedName>
    <definedName name="RATIO_COFFRAGE_DALLE">Parametres!$C$92</definedName>
    <definedName name="RATIO_COFFRAGE_POTEAU">Parametres!$C$89</definedName>
    <definedName name="RATIO_COFFRAGE_POUTRE">Parametres!$C$90</definedName>
    <definedName name="RATIO_COFFRAGE_SEMELLE">Parametres!$C$88</definedName>
    <definedName name="RATIO_EAU_CIMENT_MORTIER">Parametres!$C$19</definedName>
    <definedName name="SABLE_MORTIER_L_CM_M2">Parametres!$C$105</definedName>
    <definedName name="TAB_ACIER_DIAM">Parametres!$B$41:$B$49</definedName>
    <definedName name="TAB_ACIER_POIDS">Parametres!$D$41:$D$49</definedName>
    <definedName name="TAB_NUANCE_COEF">Parametres!$E$62:$E$65</definedName>
    <definedName name="TAB_NUANCE_NOM">Parametres!$C$62:$C$65</definedName>
    <definedName name="TAB_PRIX_ACIER_DIAM">Prix_Unitaires!$E$20:$E$25</definedName>
    <definedName name="TAB_PRIX_ACIER_RL_DIAM">Prix_Unitaires!$E$29:$E$32</definedName>
    <definedName name="TAB_PRIX_ACIER_RL_VAL">Prix_Unitaires!$D$29:$D$32</definedName>
    <definedName name="TAB_PRIX_ACIER_VAL">Prix_Unitaires!$D$20:$D$25</definedName>
    <definedName name="TRAVERSES_PCT">Parametres!$C$87</definedName>
    <definedName name="VOL_BROUETTE">Parametres!$C$15</definedName>
    <definedName name="VOL_MORTIER_PAR_BLOC">Parametres!$C$21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87" i="11" l="1"/>
  <c r="F81" i="11"/>
  <c r="F80" i="11"/>
  <c r="F79" i="11"/>
  <c r="F78" i="11"/>
  <c r="F77" i="11"/>
  <c r="F76" i="11"/>
  <c r="F75" i="11"/>
  <c r="F74" i="11"/>
  <c r="F73" i="11"/>
  <c r="F72" i="11"/>
  <c r="F71" i="11"/>
  <c r="F70" i="11"/>
  <c r="F69" i="11"/>
  <c r="F68" i="11"/>
  <c r="F67" i="11"/>
  <c r="F66" i="11"/>
  <c r="F82" i="11" s="1"/>
  <c r="E58" i="11"/>
  <c r="E48" i="11"/>
  <c r="F48" i="11" s="1"/>
  <c r="D48" i="11"/>
  <c r="E47" i="11"/>
  <c r="D47" i="11"/>
  <c r="F47" i="11" s="1"/>
  <c r="E44" i="11"/>
  <c r="E35" i="11"/>
  <c r="D35" i="11"/>
  <c r="F35" i="11" s="1"/>
  <c r="E34" i="11"/>
  <c r="D34" i="11"/>
  <c r="F34" i="11" s="1"/>
  <c r="E31" i="11"/>
  <c r="E23" i="11"/>
  <c r="E13" i="11"/>
  <c r="E12" i="11"/>
  <c r="E11" i="11"/>
  <c r="E10" i="11"/>
  <c r="F9" i="11"/>
  <c r="E9" i="11"/>
  <c r="D9" i="11"/>
  <c r="D112" i="10"/>
  <c r="D111" i="10"/>
  <c r="D107" i="10"/>
  <c r="D106" i="10"/>
  <c r="D105" i="10"/>
  <c r="E100" i="10"/>
  <c r="E97" i="10"/>
  <c r="E96" i="10"/>
  <c r="E95" i="10"/>
  <c r="E94" i="10"/>
  <c r="E90" i="10"/>
  <c r="E89" i="10"/>
  <c r="E88" i="10"/>
  <c r="E84" i="10"/>
  <c r="E83" i="10"/>
  <c r="E78" i="10"/>
  <c r="E77" i="10"/>
  <c r="E76" i="10"/>
  <c r="E75" i="10"/>
  <c r="E74" i="10"/>
  <c r="E73" i="10"/>
  <c r="E72" i="10"/>
  <c r="E68" i="10"/>
  <c r="E67" i="10"/>
  <c r="E64" i="10"/>
  <c r="E63" i="10"/>
  <c r="E62" i="10"/>
  <c r="E61" i="10"/>
  <c r="E60" i="10"/>
  <c r="E59" i="10"/>
  <c r="E58" i="10"/>
  <c r="E54" i="10"/>
  <c r="E42" i="10"/>
  <c r="E41" i="10"/>
  <c r="E40" i="10"/>
  <c r="E39" i="10"/>
  <c r="E38" i="10"/>
  <c r="E37" i="10"/>
  <c r="E36" i="10"/>
  <c r="E35" i="10"/>
  <c r="E31" i="10"/>
  <c r="E25" i="10"/>
  <c r="E24" i="10"/>
  <c r="E23" i="10"/>
  <c r="E22" i="10"/>
  <c r="E21" i="10"/>
  <c r="E20" i="10"/>
  <c r="E19" i="10"/>
  <c r="E18" i="10"/>
  <c r="E17" i="10"/>
  <c r="E13" i="10"/>
  <c r="E12" i="10"/>
  <c r="E11" i="10"/>
  <c r="E10" i="10"/>
  <c r="F9" i="10"/>
  <c r="E9" i="10"/>
  <c r="D9" i="10"/>
  <c r="C123" i="9"/>
  <c r="D121" i="9"/>
  <c r="C121" i="9"/>
  <c r="E121" i="9" s="1"/>
  <c r="D120" i="9"/>
  <c r="E120" i="9" s="1"/>
  <c r="C114" i="9"/>
  <c r="E112" i="9"/>
  <c r="D112" i="9"/>
  <c r="C112" i="9"/>
  <c r="E111" i="9"/>
  <c r="E113" i="9" s="1"/>
  <c r="D111" i="9"/>
  <c r="C105" i="9"/>
  <c r="D103" i="9"/>
  <c r="C103" i="9"/>
  <c r="E103" i="9" s="1"/>
  <c r="D102" i="9"/>
  <c r="E102" i="9" s="1"/>
  <c r="E104" i="9" s="1"/>
  <c r="C102" i="9"/>
  <c r="C96" i="9"/>
  <c r="D94" i="9"/>
  <c r="C94" i="9"/>
  <c r="E94" i="9" s="1"/>
  <c r="D93" i="9"/>
  <c r="C93" i="9"/>
  <c r="E93" i="9" s="1"/>
  <c r="D92" i="9"/>
  <c r="C92" i="9"/>
  <c r="E92" i="9" s="1"/>
  <c r="D91" i="9"/>
  <c r="E91" i="9" s="1"/>
  <c r="C91" i="9"/>
  <c r="C84" i="9"/>
  <c r="D83" i="9"/>
  <c r="C83" i="9"/>
  <c r="E83" i="9" s="1"/>
  <c r="C77" i="9"/>
  <c r="D75" i="9"/>
  <c r="C75" i="9"/>
  <c r="E75" i="9" s="1"/>
  <c r="D74" i="9"/>
  <c r="E74" i="9" s="1"/>
  <c r="C74" i="9"/>
  <c r="C68" i="9"/>
  <c r="D66" i="9"/>
  <c r="C66" i="9"/>
  <c r="E66" i="9" s="1"/>
  <c r="D65" i="9"/>
  <c r="C65" i="9"/>
  <c r="E65" i="9" s="1"/>
  <c r="D64" i="9"/>
  <c r="C64" i="9"/>
  <c r="E64" i="9" s="1"/>
  <c r="C63" i="9"/>
  <c r="C56" i="9"/>
  <c r="D54" i="9"/>
  <c r="C54" i="9"/>
  <c r="E54" i="9" s="1"/>
  <c r="D53" i="9"/>
  <c r="E53" i="9" s="1"/>
  <c r="C53" i="9"/>
  <c r="D52" i="9"/>
  <c r="C52" i="9"/>
  <c r="E52" i="9" s="1"/>
  <c r="C45" i="9"/>
  <c r="D41" i="9"/>
  <c r="C41" i="9"/>
  <c r="E41" i="9" s="1"/>
  <c r="E40" i="9"/>
  <c r="D40" i="9"/>
  <c r="C40" i="9"/>
  <c r="E39" i="9"/>
  <c r="D39" i="9"/>
  <c r="C39" i="9"/>
  <c r="D38" i="9"/>
  <c r="C38" i="9"/>
  <c r="E38" i="9" s="1"/>
  <c r="C31" i="9"/>
  <c r="D29" i="9"/>
  <c r="C29" i="9"/>
  <c r="E29" i="9" s="1"/>
  <c r="E28" i="9"/>
  <c r="D28" i="9"/>
  <c r="C28" i="9"/>
  <c r="E27" i="9"/>
  <c r="D27" i="9"/>
  <c r="C27" i="9"/>
  <c r="D26" i="9"/>
  <c r="C26" i="9"/>
  <c r="E26" i="9" s="1"/>
  <c r="E30" i="9" s="1"/>
  <c r="C19" i="9"/>
  <c r="D17" i="9"/>
  <c r="C17" i="9"/>
  <c r="E17" i="9" s="1"/>
  <c r="E16" i="9"/>
  <c r="D16" i="9"/>
  <c r="C16" i="9"/>
  <c r="E15" i="9"/>
  <c r="D15" i="9"/>
  <c r="C15" i="9"/>
  <c r="D14" i="9"/>
  <c r="C14" i="9"/>
  <c r="E14" i="9" s="1"/>
  <c r="E18" i="9" s="1"/>
  <c r="C8" i="9"/>
  <c r="E82" i="10" s="1"/>
  <c r="C7" i="9"/>
  <c r="D42" i="9" s="1"/>
  <c r="E42" i="9" s="1"/>
  <c r="G69" i="8"/>
  <c r="D58" i="11" s="1"/>
  <c r="F58" i="11" s="1"/>
  <c r="G66" i="8"/>
  <c r="D55" i="11" s="1"/>
  <c r="G65" i="8"/>
  <c r="D90" i="10" s="1"/>
  <c r="F90" i="10" s="1"/>
  <c r="G62" i="8"/>
  <c r="D54" i="11" s="1"/>
  <c r="G55" i="8"/>
  <c r="G52" i="8"/>
  <c r="G68" i="8" s="1"/>
  <c r="G51" i="8"/>
  <c r="G67" i="8" s="1"/>
  <c r="H46" i="8"/>
  <c r="G50" i="8" s="1"/>
  <c r="G73" i="8" s="1"/>
  <c r="D97" i="10" s="1"/>
  <c r="F97" i="10" s="1"/>
  <c r="G39" i="8"/>
  <c r="G38" i="8"/>
  <c r="G64" i="8" s="1"/>
  <c r="D89" i="10" s="1"/>
  <c r="F89" i="10" s="1"/>
  <c r="G36" i="8"/>
  <c r="G63" i="8" s="1"/>
  <c r="D88" i="10" s="1"/>
  <c r="F88" i="10" s="1"/>
  <c r="F91" i="10" s="1"/>
  <c r="C31" i="8"/>
  <c r="D24" i="8"/>
  <c r="G24" i="8" s="1"/>
  <c r="G19" i="8"/>
  <c r="G20" i="8" s="1"/>
  <c r="G18" i="8"/>
  <c r="G17" i="8"/>
  <c r="G21" i="8" s="1"/>
  <c r="G25" i="8" s="1"/>
  <c r="G57" i="7"/>
  <c r="G56" i="7"/>
  <c r="G55" i="7"/>
  <c r="G49" i="7"/>
  <c r="D78" i="10" s="1"/>
  <c r="F78" i="10" s="1"/>
  <c r="G40" i="7"/>
  <c r="G38" i="7"/>
  <c r="G39" i="7" s="1"/>
  <c r="G51" i="7" s="1"/>
  <c r="D73" i="10" s="1"/>
  <c r="F73" i="10" s="1"/>
  <c r="G32" i="7"/>
  <c r="G31" i="7"/>
  <c r="G30" i="7"/>
  <c r="G48" i="7" s="1"/>
  <c r="D75" i="10" s="1"/>
  <c r="F75" i="10" s="1"/>
  <c r="G28" i="7"/>
  <c r="G29" i="7" s="1"/>
  <c r="G50" i="7" s="1"/>
  <c r="D72" i="10" s="1"/>
  <c r="F72" i="10" s="1"/>
  <c r="G22" i="7"/>
  <c r="G21" i="7"/>
  <c r="G20" i="7"/>
  <c r="G11" i="7"/>
  <c r="G47" i="7" s="1"/>
  <c r="D77" i="10" s="1"/>
  <c r="F77" i="10" s="1"/>
  <c r="G9" i="7"/>
  <c r="G10" i="7" s="1"/>
  <c r="G46" i="7" s="1"/>
  <c r="D76" i="10" s="1"/>
  <c r="F76" i="10" s="1"/>
  <c r="C80" i="6"/>
  <c r="C79" i="6"/>
  <c r="C78" i="6"/>
  <c r="E66" i="10" s="1"/>
  <c r="C77" i="6"/>
  <c r="E65" i="10" s="1"/>
  <c r="G58" i="6"/>
  <c r="D44" i="11" s="1"/>
  <c r="F44" i="11" s="1"/>
  <c r="G49" i="6"/>
  <c r="G50" i="6" s="1"/>
  <c r="G51" i="6" s="1"/>
  <c r="F47" i="6"/>
  <c r="E47" i="6"/>
  <c r="G47" i="6" s="1"/>
  <c r="F45" i="6"/>
  <c r="G45" i="6" s="1"/>
  <c r="H45" i="6" s="1"/>
  <c r="E45" i="6"/>
  <c r="H39" i="6"/>
  <c r="G31" i="6"/>
  <c r="D31" i="11" s="1"/>
  <c r="F31" i="11" s="1"/>
  <c r="G22" i="6"/>
  <c r="G23" i="6" s="1"/>
  <c r="F20" i="6"/>
  <c r="G20" i="6" s="1"/>
  <c r="E20" i="6"/>
  <c r="G18" i="6"/>
  <c r="F18" i="6"/>
  <c r="E18" i="6"/>
  <c r="G16" i="6"/>
  <c r="G15" i="6"/>
  <c r="G14" i="6"/>
  <c r="G13" i="6"/>
  <c r="H12" i="6"/>
  <c r="D30" i="11" s="1"/>
  <c r="C228" i="5"/>
  <c r="E53" i="10" s="1"/>
  <c r="G223" i="5"/>
  <c r="D48" i="10" s="1"/>
  <c r="F48" i="10" s="1"/>
  <c r="C223" i="5"/>
  <c r="E48" i="10" s="1"/>
  <c r="C222" i="5"/>
  <c r="E47" i="10" s="1"/>
  <c r="C221" i="5"/>
  <c r="E46" i="10" s="1"/>
  <c r="C218" i="5"/>
  <c r="E43" i="10" s="1"/>
  <c r="G199" i="5"/>
  <c r="D42" i="11" s="1"/>
  <c r="G197" i="5"/>
  <c r="D29" i="11" s="1"/>
  <c r="G195" i="5"/>
  <c r="D28" i="11" s="1"/>
  <c r="G182" i="5"/>
  <c r="G183" i="5" s="1"/>
  <c r="G184" i="5" s="1"/>
  <c r="H180" i="5"/>
  <c r="G201" i="5" s="1"/>
  <c r="H179" i="5"/>
  <c r="H178" i="5"/>
  <c r="H177" i="5"/>
  <c r="H175" i="5"/>
  <c r="G166" i="5"/>
  <c r="H163" i="5"/>
  <c r="H162" i="5"/>
  <c r="H161" i="5"/>
  <c r="H159" i="5"/>
  <c r="H164" i="5" s="1"/>
  <c r="G150" i="5"/>
  <c r="G151" i="5" s="1"/>
  <c r="G152" i="5" s="1"/>
  <c r="G153" i="5" s="1"/>
  <c r="G146" i="5"/>
  <c r="G149" i="5" s="1"/>
  <c r="G144" i="5"/>
  <c r="G143" i="5"/>
  <c r="G142" i="5"/>
  <c r="G141" i="5"/>
  <c r="G130" i="5"/>
  <c r="G131" i="5" s="1"/>
  <c r="G132" i="5" s="1"/>
  <c r="G133" i="5" s="1"/>
  <c r="F128" i="5"/>
  <c r="D128" i="5"/>
  <c r="G128" i="5" s="1"/>
  <c r="C128" i="5"/>
  <c r="G121" i="5"/>
  <c r="H121" i="5" s="1"/>
  <c r="G124" i="5" s="1"/>
  <c r="G113" i="5"/>
  <c r="G114" i="5" s="1"/>
  <c r="G115" i="5" s="1"/>
  <c r="G116" i="5" s="1"/>
  <c r="F111" i="5"/>
  <c r="D111" i="5"/>
  <c r="G111" i="5" s="1"/>
  <c r="C111" i="5"/>
  <c r="E111" i="5" s="1"/>
  <c r="G108" i="5"/>
  <c r="G107" i="5"/>
  <c r="H104" i="5"/>
  <c r="G106" i="5" s="1"/>
  <c r="G104" i="5"/>
  <c r="G96" i="5"/>
  <c r="G92" i="5"/>
  <c r="G93" i="5" s="1"/>
  <c r="G94" i="5" s="1"/>
  <c r="G95" i="5" s="1"/>
  <c r="H95" i="5" s="1"/>
  <c r="G90" i="5"/>
  <c r="G225" i="5" s="1"/>
  <c r="D50" i="10" s="1"/>
  <c r="F50" i="10" s="1"/>
  <c r="F90" i="5"/>
  <c r="E90" i="5"/>
  <c r="D90" i="5"/>
  <c r="C90" i="5"/>
  <c r="C225" i="5" s="1"/>
  <c r="E50" i="10" s="1"/>
  <c r="F87" i="5"/>
  <c r="E87" i="5"/>
  <c r="D87" i="5"/>
  <c r="C87" i="5"/>
  <c r="C224" i="5" s="1"/>
  <c r="E49" i="10" s="1"/>
  <c r="H80" i="5"/>
  <c r="G71" i="5"/>
  <c r="G72" i="5" s="1"/>
  <c r="G73" i="5" s="1"/>
  <c r="H73" i="5" s="1"/>
  <c r="G70" i="5"/>
  <c r="G68" i="5"/>
  <c r="H68" i="5" s="1"/>
  <c r="H223" i="5" s="1"/>
  <c r="F68" i="5"/>
  <c r="E68" i="5"/>
  <c r="D68" i="5"/>
  <c r="C68" i="5"/>
  <c r="F65" i="5"/>
  <c r="E65" i="5"/>
  <c r="D65" i="5"/>
  <c r="G65" i="5" s="1"/>
  <c r="C65" i="5"/>
  <c r="H58" i="5"/>
  <c r="G51" i="5"/>
  <c r="G46" i="5"/>
  <c r="G47" i="5" s="1"/>
  <c r="G48" i="5" s="1"/>
  <c r="G49" i="5" s="1"/>
  <c r="H49" i="5" s="1"/>
  <c r="G44" i="5"/>
  <c r="G221" i="5" s="1"/>
  <c r="D46" i="10" s="1"/>
  <c r="F46" i="10" s="1"/>
  <c r="E44" i="5"/>
  <c r="D44" i="5"/>
  <c r="C44" i="5"/>
  <c r="F44" i="5" s="1"/>
  <c r="F41" i="5"/>
  <c r="E41" i="5"/>
  <c r="D41" i="5" s="1"/>
  <c r="G41" i="5" s="1"/>
  <c r="C41" i="5"/>
  <c r="C220" i="5" s="1"/>
  <c r="E45" i="10" s="1"/>
  <c r="H34" i="5"/>
  <c r="G34" i="5"/>
  <c r="G24" i="5"/>
  <c r="G25" i="5" s="1"/>
  <c r="E22" i="5"/>
  <c r="D22" i="5"/>
  <c r="G22" i="5" s="1"/>
  <c r="C22" i="5"/>
  <c r="F19" i="5"/>
  <c r="E19" i="5"/>
  <c r="D19" i="5" s="1"/>
  <c r="G19" i="5" s="1"/>
  <c r="C19" i="5"/>
  <c r="G14" i="5"/>
  <c r="G12" i="5"/>
  <c r="H12" i="5" s="1"/>
  <c r="G193" i="5" s="1"/>
  <c r="D27" i="11" s="1"/>
  <c r="C186" i="4"/>
  <c r="E30" i="10" s="1"/>
  <c r="C185" i="4"/>
  <c r="E29" i="10" s="1"/>
  <c r="C183" i="4"/>
  <c r="E27" i="10" s="1"/>
  <c r="C182" i="4"/>
  <c r="E26" i="10" s="1"/>
  <c r="C164" i="4"/>
  <c r="C158" i="4"/>
  <c r="C157" i="4"/>
  <c r="C155" i="4"/>
  <c r="C154" i="4"/>
  <c r="F138" i="4"/>
  <c r="E138" i="4"/>
  <c r="C138" i="4"/>
  <c r="F135" i="4"/>
  <c r="E135" i="4"/>
  <c r="C126" i="4"/>
  <c r="D138" i="4" s="1"/>
  <c r="G115" i="4"/>
  <c r="H110" i="4"/>
  <c r="G116" i="4" s="1"/>
  <c r="G104" i="4"/>
  <c r="H100" i="4"/>
  <c r="G103" i="4" s="1"/>
  <c r="D84" i="4"/>
  <c r="H84" i="4" s="1"/>
  <c r="G75" i="4"/>
  <c r="G77" i="4" s="1"/>
  <c r="H72" i="4"/>
  <c r="G156" i="4" s="1"/>
  <c r="D20" i="11" s="1"/>
  <c r="D72" i="4"/>
  <c r="G61" i="4"/>
  <c r="G62" i="4" s="1"/>
  <c r="G56" i="4"/>
  <c r="G184" i="4" s="1"/>
  <c r="D28" i="10" s="1"/>
  <c r="F28" i="10" s="1"/>
  <c r="E56" i="4"/>
  <c r="D56" i="4"/>
  <c r="C56" i="4"/>
  <c r="C184" i="4" s="1"/>
  <c r="E28" i="10" s="1"/>
  <c r="F52" i="4"/>
  <c r="E52" i="4"/>
  <c r="D52" i="4" s="1"/>
  <c r="G52" i="4" s="1"/>
  <c r="G47" i="4"/>
  <c r="G182" i="4" s="1"/>
  <c r="D26" i="10" s="1"/>
  <c r="F47" i="4"/>
  <c r="E47" i="4"/>
  <c r="D47" i="4"/>
  <c r="G37" i="4"/>
  <c r="H37" i="4" s="1"/>
  <c r="G36" i="4"/>
  <c r="H36" i="4" s="1"/>
  <c r="H24" i="4"/>
  <c r="D24" i="4"/>
  <c r="G23" i="4"/>
  <c r="H23" i="4" s="1"/>
  <c r="H25" i="4" s="1"/>
  <c r="H15" i="4"/>
  <c r="G163" i="4" s="1"/>
  <c r="H10" i="4"/>
  <c r="G10" i="4"/>
  <c r="H9" i="4"/>
  <c r="H11" i="4" s="1"/>
  <c r="G9" i="4"/>
  <c r="G114" i="4" s="1"/>
  <c r="D36" i="2"/>
  <c r="C36" i="2"/>
  <c r="D35" i="2"/>
  <c r="C35" i="2"/>
  <c r="D34" i="2"/>
  <c r="C34" i="2"/>
  <c r="D33" i="2"/>
  <c r="C33" i="2"/>
  <c r="D32" i="2"/>
  <c r="C32" i="2"/>
  <c r="D31" i="2"/>
  <c r="C31" i="2"/>
  <c r="D30" i="2"/>
  <c r="C30" i="2"/>
  <c r="D29" i="2"/>
  <c r="C29" i="2"/>
  <c r="G210" i="5" l="1"/>
  <c r="D40" i="10" s="1"/>
  <c r="F40" i="10" s="1"/>
  <c r="G26" i="5"/>
  <c r="G154" i="4"/>
  <c r="D17" i="11" s="1"/>
  <c r="G30" i="4"/>
  <c r="G29" i="4"/>
  <c r="G28" i="4"/>
  <c r="G27" i="4"/>
  <c r="G206" i="5"/>
  <c r="D37" i="10" s="1"/>
  <c r="F37" i="10" s="1"/>
  <c r="G185" i="5"/>
  <c r="G187" i="5" s="1"/>
  <c r="G186" i="5"/>
  <c r="H79" i="6"/>
  <c r="G63" i="4"/>
  <c r="H19" i="5"/>
  <c r="G218" i="5"/>
  <c r="D43" i="10" s="1"/>
  <c r="F43" i="10" s="1"/>
  <c r="D11" i="11"/>
  <c r="F11" i="11" s="1"/>
  <c r="D11" i="10"/>
  <c r="F11" i="10" s="1"/>
  <c r="H38" i="4"/>
  <c r="G86" i="4"/>
  <c r="G157" i="4"/>
  <c r="D21" i="11" s="1"/>
  <c r="G85" i="4"/>
  <c r="G88" i="4"/>
  <c r="G87" i="4"/>
  <c r="H41" i="5"/>
  <c r="G220" i="5"/>
  <c r="D45" i="10" s="1"/>
  <c r="F45" i="10" s="1"/>
  <c r="G52" i="6"/>
  <c r="H52" i="6" s="1"/>
  <c r="G54" i="6"/>
  <c r="G53" i="6"/>
  <c r="G24" i="6"/>
  <c r="G70" i="6"/>
  <c r="D62" i="10" s="1"/>
  <c r="F62" i="10" s="1"/>
  <c r="G162" i="4"/>
  <c r="G113" i="4"/>
  <c r="H65" i="5"/>
  <c r="G222" i="5"/>
  <c r="D47" i="10" s="1"/>
  <c r="F47" i="10" s="1"/>
  <c r="H52" i="4"/>
  <c r="H183" i="4" s="1"/>
  <c r="G183" i="4"/>
  <c r="D27" i="10" s="1"/>
  <c r="F27" i="10" s="1"/>
  <c r="G117" i="4"/>
  <c r="H128" i="5"/>
  <c r="G227" i="5"/>
  <c r="D52" i="10" s="1"/>
  <c r="F52" i="10" s="1"/>
  <c r="G79" i="6"/>
  <c r="E84" i="9"/>
  <c r="E85" i="9" s="1"/>
  <c r="C148" i="4"/>
  <c r="H148" i="4" s="1"/>
  <c r="G165" i="4" s="1"/>
  <c r="G158" i="4"/>
  <c r="D22" i="11" s="1"/>
  <c r="C219" i="5"/>
  <c r="E44" i="10" s="1"/>
  <c r="F22" i="5"/>
  <c r="G37" i="5"/>
  <c r="G194" i="5"/>
  <c r="D39" i="11" s="1"/>
  <c r="G38" i="5"/>
  <c r="D46" i="11"/>
  <c r="D45" i="11"/>
  <c r="H47" i="4"/>
  <c r="G76" i="4"/>
  <c r="G78" i="4" s="1"/>
  <c r="G101" i="4"/>
  <c r="G15" i="5"/>
  <c r="H22" i="5"/>
  <c r="H219" i="5" s="1"/>
  <c r="G219" i="5"/>
  <c r="D44" i="10" s="1"/>
  <c r="G35" i="5"/>
  <c r="G60" i="5"/>
  <c r="G62" i="5"/>
  <c r="G61" i="5"/>
  <c r="G74" i="5"/>
  <c r="G97" i="5"/>
  <c r="G41" i="6"/>
  <c r="G67" i="6" s="1"/>
  <c r="D59" i="10" s="1"/>
  <c r="F59" i="10" s="1"/>
  <c r="D43" i="11"/>
  <c r="G64" i="6"/>
  <c r="G43" i="6"/>
  <c r="G69" i="6" s="1"/>
  <c r="D61" i="10" s="1"/>
  <c r="F61" i="10" s="1"/>
  <c r="G42" i="6"/>
  <c r="G26" i="8"/>
  <c r="G61" i="8" s="1"/>
  <c r="D83" i="10" s="1"/>
  <c r="F83" i="10" s="1"/>
  <c r="G60" i="8"/>
  <c r="G81" i="5"/>
  <c r="G84" i="5"/>
  <c r="G83" i="5"/>
  <c r="G82" i="5"/>
  <c r="F26" i="10"/>
  <c r="G138" i="4"/>
  <c r="F56" i="4"/>
  <c r="G89" i="4"/>
  <c r="G90" i="4" s="1"/>
  <c r="G91" i="4" s="1"/>
  <c r="G102" i="4"/>
  <c r="D135" i="4"/>
  <c r="G135" i="4" s="1"/>
  <c r="G16" i="5"/>
  <c r="G36" i="5"/>
  <c r="G59" i="5"/>
  <c r="G75" i="5"/>
  <c r="G148" i="5"/>
  <c r="G228" i="5" s="1"/>
  <c r="D53" i="10" s="1"/>
  <c r="F53" i="10" s="1"/>
  <c r="H228" i="5"/>
  <c r="G40" i="6"/>
  <c r="G66" i="6" s="1"/>
  <c r="D58" i="10" s="1"/>
  <c r="F58" i="10" s="1"/>
  <c r="D56" i="11"/>
  <c r="D98" i="10"/>
  <c r="E114" i="9"/>
  <c r="E115" i="9" s="1"/>
  <c r="E53" i="11" s="1"/>
  <c r="G77" i="6"/>
  <c r="D65" i="10" s="1"/>
  <c r="F65" i="10" s="1"/>
  <c r="H18" i="6"/>
  <c r="D57" i="11"/>
  <c r="D99" i="10"/>
  <c r="E19" i="9"/>
  <c r="E20" i="9" s="1"/>
  <c r="E17" i="11" s="1"/>
  <c r="E55" i="9"/>
  <c r="E67" i="9"/>
  <c r="E76" i="9"/>
  <c r="E95" i="9"/>
  <c r="G167" i="5"/>
  <c r="G200" i="5"/>
  <c r="G126" i="4"/>
  <c r="H126" i="4" s="1"/>
  <c r="G87" i="5"/>
  <c r="H90" i="5"/>
  <c r="H225" i="5" s="1"/>
  <c r="G196" i="5"/>
  <c r="D40" i="11" s="1"/>
  <c r="H20" i="6"/>
  <c r="H78" i="6" s="1"/>
  <c r="G78" i="6"/>
  <c r="D66" i="10" s="1"/>
  <c r="F66" i="10" s="1"/>
  <c r="E105" i="9"/>
  <c r="E106" i="9"/>
  <c r="H56" i="4"/>
  <c r="H184" i="4" s="1"/>
  <c r="G140" i="4"/>
  <c r="G141" i="4" s="1"/>
  <c r="G142" i="4" s="1"/>
  <c r="G198" i="5"/>
  <c r="D41" i="11" s="1"/>
  <c r="G123" i="5"/>
  <c r="G122" i="5"/>
  <c r="G125" i="5"/>
  <c r="C226" i="5"/>
  <c r="E51" i="10" s="1"/>
  <c r="H47" i="6"/>
  <c r="H80" i="6" s="1"/>
  <c r="G80" i="6"/>
  <c r="E32" i="9"/>
  <c r="E31" i="9"/>
  <c r="H44" i="5"/>
  <c r="H221" i="5" s="1"/>
  <c r="G74" i="4"/>
  <c r="G173" i="4" s="1"/>
  <c r="D21" i="10" s="1"/>
  <c r="F21" i="10" s="1"/>
  <c r="G13" i="5"/>
  <c r="G50" i="5"/>
  <c r="H111" i="5"/>
  <c r="C227" i="5"/>
  <c r="E52" i="10" s="1"/>
  <c r="E128" i="5"/>
  <c r="G226" i="5"/>
  <c r="D51" i="10" s="1"/>
  <c r="G68" i="6"/>
  <c r="D60" i="10" s="1"/>
  <c r="F60" i="10" s="1"/>
  <c r="F79" i="10"/>
  <c r="E122" i="9"/>
  <c r="G105" i="5"/>
  <c r="G45" i="7"/>
  <c r="D74" i="10" s="1"/>
  <c r="F74" i="10" s="1"/>
  <c r="G47" i="8"/>
  <c r="G70" i="8" s="1"/>
  <c r="D94" i="10" s="1"/>
  <c r="F94" i="10" s="1"/>
  <c r="G48" i="8"/>
  <c r="G71" i="8" s="1"/>
  <c r="D95" i="10" s="1"/>
  <c r="F95" i="10" s="1"/>
  <c r="G49" i="8"/>
  <c r="G72" i="8" s="1"/>
  <c r="D96" i="10" s="1"/>
  <c r="F96" i="10" s="1"/>
  <c r="G65" i="6"/>
  <c r="D68" i="10" s="1"/>
  <c r="F68" i="10" s="1"/>
  <c r="D100" i="10"/>
  <c r="F100" i="10" s="1"/>
  <c r="D43" i="9"/>
  <c r="E43" i="9" s="1"/>
  <c r="E44" i="9" s="1"/>
  <c r="E45" i="9" l="1"/>
  <c r="E46" i="9" s="1"/>
  <c r="G21" i="6"/>
  <c r="H77" i="6"/>
  <c r="H81" i="6" s="1"/>
  <c r="D10" i="10"/>
  <c r="F10" i="10" s="1"/>
  <c r="D10" i="11"/>
  <c r="F10" i="11" s="1"/>
  <c r="G186" i="4"/>
  <c r="D30" i="10" s="1"/>
  <c r="F30" i="10" s="1"/>
  <c r="H138" i="4"/>
  <c r="H186" i="4" s="1"/>
  <c r="H227" i="5"/>
  <c r="G129" i="5"/>
  <c r="F51" i="10"/>
  <c r="G224" i="5"/>
  <c r="D49" i="10" s="1"/>
  <c r="F49" i="10" s="1"/>
  <c r="H87" i="5"/>
  <c r="E56" i="9"/>
  <c r="E57" i="9"/>
  <c r="E20" i="11" s="1"/>
  <c r="F20" i="11" s="1"/>
  <c r="H182" i="4"/>
  <c r="G57" i="4"/>
  <c r="G160" i="4"/>
  <c r="H117" i="4"/>
  <c r="G25" i="6"/>
  <c r="H25" i="6" s="1"/>
  <c r="G71" i="6" s="1"/>
  <c r="D63" i="10" s="1"/>
  <c r="F63" i="10" s="1"/>
  <c r="G64" i="4"/>
  <c r="H64" i="4" s="1"/>
  <c r="D53" i="11"/>
  <c r="F53" i="11" s="1"/>
  <c r="D82" i="10"/>
  <c r="F82" i="10" s="1"/>
  <c r="D84" i="10"/>
  <c r="F84" i="10" s="1"/>
  <c r="G130" i="4"/>
  <c r="G128" i="4"/>
  <c r="G164" i="4"/>
  <c r="D19" i="11" s="1"/>
  <c r="G131" i="4"/>
  <c r="G129" i="4"/>
  <c r="D23" i="11"/>
  <c r="F23" i="11" s="1"/>
  <c r="D22" i="10"/>
  <c r="F22" i="10" s="1"/>
  <c r="G174" i="4"/>
  <c r="D23" i="10" s="1"/>
  <c r="F23" i="10" s="1"/>
  <c r="G143" i="4"/>
  <c r="H143" i="4" s="1"/>
  <c r="E77" i="9"/>
  <c r="E78" i="9" s="1"/>
  <c r="G48" i="6"/>
  <c r="G172" i="4"/>
  <c r="D20" i="10" s="1"/>
  <c r="F20" i="10" s="1"/>
  <c r="E68" i="9"/>
  <c r="E69" i="9" s="1"/>
  <c r="H218" i="5"/>
  <c r="G23" i="5"/>
  <c r="E22" i="11"/>
  <c r="F22" i="11" s="1"/>
  <c r="E21" i="11"/>
  <c r="F21" i="11" s="1"/>
  <c r="D33" i="11"/>
  <c r="D32" i="11"/>
  <c r="H135" i="4"/>
  <c r="G185" i="4"/>
  <c r="D29" i="10" s="1"/>
  <c r="F29" i="10" s="1"/>
  <c r="F44" i="10"/>
  <c r="G155" i="4"/>
  <c r="D18" i="11" s="1"/>
  <c r="G43" i="4"/>
  <c r="G41" i="4"/>
  <c r="G170" i="4" s="1"/>
  <c r="D18" i="10" s="1"/>
  <c r="F18" i="10" s="1"/>
  <c r="G40" i="4"/>
  <c r="G169" i="4" s="1"/>
  <c r="D17" i="10" s="1"/>
  <c r="F17" i="10" s="1"/>
  <c r="G42" i="4"/>
  <c r="G171" i="4" s="1"/>
  <c r="D19" i="10" s="1"/>
  <c r="F19" i="10" s="1"/>
  <c r="F17" i="11"/>
  <c r="E123" i="9"/>
  <c r="E124" i="9" s="1"/>
  <c r="E54" i="11" s="1"/>
  <c r="F54" i="11" s="1"/>
  <c r="H226" i="5"/>
  <c r="G112" i="5"/>
  <c r="G209" i="5"/>
  <c r="D35" i="10" s="1"/>
  <c r="F35" i="10" s="1"/>
  <c r="G168" i="5"/>
  <c r="H222" i="5"/>
  <c r="G69" i="5"/>
  <c r="G27" i="5"/>
  <c r="H27" i="5" s="1"/>
  <c r="G211" i="5" s="1"/>
  <c r="D41" i="10" s="1"/>
  <c r="F41" i="10" s="1"/>
  <c r="G28" i="5"/>
  <c r="G212" i="5" s="1"/>
  <c r="E96" i="9"/>
  <c r="E97" i="9" s="1"/>
  <c r="G93" i="4"/>
  <c r="G92" i="4"/>
  <c r="H92" i="4" s="1"/>
  <c r="G159" i="4"/>
  <c r="H113" i="4"/>
  <c r="G119" i="4"/>
  <c r="G161" i="4" s="1"/>
  <c r="H220" i="5"/>
  <c r="G45" i="5"/>
  <c r="E98" i="10" l="1"/>
  <c r="F98" i="10" s="1"/>
  <c r="E32" i="11"/>
  <c r="E45" i="11"/>
  <c r="F45" i="11" s="1"/>
  <c r="E56" i="11"/>
  <c r="F56" i="11" s="1"/>
  <c r="F69" i="10"/>
  <c r="E33" i="11"/>
  <c r="F33" i="11" s="1"/>
  <c r="E46" i="11"/>
  <c r="F46" i="11" s="1"/>
  <c r="E57" i="11"/>
  <c r="F57" i="11" s="1"/>
  <c r="E99" i="10"/>
  <c r="F99" i="10" s="1"/>
  <c r="E28" i="11"/>
  <c r="F28" i="11" s="1"/>
  <c r="E41" i="11"/>
  <c r="F41" i="11" s="1"/>
  <c r="E55" i="11"/>
  <c r="F55" i="11" s="1"/>
  <c r="F59" i="11" s="1"/>
  <c r="E30" i="11"/>
  <c r="F30" i="11" s="1"/>
  <c r="E43" i="11"/>
  <c r="F43" i="11" s="1"/>
  <c r="E27" i="11"/>
  <c r="F27" i="11" s="1"/>
  <c r="E19" i="11"/>
  <c r="E40" i="11"/>
  <c r="F40" i="11" s="1"/>
  <c r="E29" i="11"/>
  <c r="F29" i="11" s="1"/>
  <c r="E42" i="11"/>
  <c r="F42" i="11" s="1"/>
  <c r="E18" i="11"/>
  <c r="E39" i="11"/>
  <c r="F39" i="11" s="1"/>
  <c r="G170" i="5"/>
  <c r="G207" i="5" s="1"/>
  <c r="D38" i="10" s="1"/>
  <c r="F38" i="10" s="1"/>
  <c r="G169" i="5"/>
  <c r="G29" i="5"/>
  <c r="G213" i="5" s="1"/>
  <c r="D42" i="10" s="1"/>
  <c r="F42" i="10" s="1"/>
  <c r="G145" i="4"/>
  <c r="F85" i="10"/>
  <c r="G26" i="6"/>
  <c r="G72" i="6" s="1"/>
  <c r="G144" i="4"/>
  <c r="H185" i="4"/>
  <c r="G139" i="4"/>
  <c r="F32" i="11"/>
  <c r="F14" i="11"/>
  <c r="F18" i="11"/>
  <c r="F19" i="11"/>
  <c r="D12" i="11"/>
  <c r="F12" i="11" s="1"/>
  <c r="D12" i="10"/>
  <c r="F12" i="10" s="1"/>
  <c r="F14" i="10" s="1"/>
  <c r="G94" i="4"/>
  <c r="G175" i="4"/>
  <c r="D24" i="10" s="1"/>
  <c r="F24" i="10" s="1"/>
  <c r="F32" i="10" s="1"/>
  <c r="G74" i="6"/>
  <c r="D67" i="10" s="1"/>
  <c r="F67" i="10" s="1"/>
  <c r="G91" i="5"/>
  <c r="H224" i="5"/>
  <c r="G214" i="5"/>
  <c r="D54" i="10" s="1"/>
  <c r="F54" i="10" s="1"/>
  <c r="G65" i="4"/>
  <c r="G176" i="4" s="1"/>
  <c r="G178" i="4"/>
  <c r="D31" i="10" s="1"/>
  <c r="F31" i="10" s="1"/>
  <c r="G27" i="6"/>
  <c r="G73" i="6" s="1"/>
  <c r="D64" i="10" s="1"/>
  <c r="F64" i="10" s="1"/>
  <c r="D13" i="10"/>
  <c r="F13" i="10" s="1"/>
  <c r="D13" i="11"/>
  <c r="F13" i="11" s="1"/>
  <c r="F24" i="11"/>
  <c r="H229" i="5"/>
  <c r="G66" i="4"/>
  <c r="G177" i="4" s="1"/>
  <c r="D25" i="10" s="1"/>
  <c r="F25" i="10" s="1"/>
  <c r="H187" i="4"/>
  <c r="F49" i="11" l="1"/>
  <c r="G171" i="5"/>
  <c r="G208" i="5" s="1"/>
  <c r="D39" i="10" s="1"/>
  <c r="F39" i="10" s="1"/>
  <c r="G205" i="5"/>
  <c r="D36" i="10" s="1"/>
  <c r="F36" i="10" s="1"/>
  <c r="F55" i="10" s="1"/>
  <c r="F103" i="10" s="1"/>
  <c r="F36" i="11"/>
  <c r="F63" i="11" s="1"/>
  <c r="F86" i="11" s="1"/>
  <c r="F101" i="10"/>
  <c r="F87" i="11" l="1"/>
  <c r="F89" i="11" s="1"/>
  <c r="F90" i="11" s="1"/>
  <c r="F107" i="10"/>
  <c r="F106" i="10"/>
  <c r="F105" i="10"/>
  <c r="F109" i="10" s="1"/>
  <c r="F112" i="10" l="1"/>
  <c r="F111" i="10"/>
  <c r="F114" i="10" s="1"/>
</calcChain>
</file>

<file path=xl/sharedStrings.xml><?xml version="1.0" encoding="utf-8"?>
<sst xmlns="http://schemas.openxmlformats.org/spreadsheetml/2006/main" count="1996" uniqueCount="865">
  <si>
    <t>DEVIS FACILE BTP</t>
  </si>
  <si>
    <t>Outil de devis et metre cle en main pour le batiment</t>
  </si>
  <si>
    <t>A PROPOS DE CE CLASSEUR</t>
  </si>
  <si>
    <t>Ce classeur calcule automatiquement les quantites de materiaux (metre) puis le cout des</t>
  </si>
  <si>
    <t>travaux (devis) d'une construction, en appliquant les formules du Guide Pratique du Devis et</t>
  </si>
  <si>
    <t>Metre (Ir BTP OTEMAKUMI LOTENGO Merlin, edition 2023, www.4geniecivil.com).</t>
  </si>
  <si>
    <t>Chaque feuille de calcul (Fondation, Elevation, Dalle, Finition, Charpente et Couverture)</t>
  </si>
  <si>
    <t>reprend la structure et les formules du guide : dosages du beton, quantites unitaires de</t>
  </si>
  <si>
    <t>sable et gravier, poids des aciers, ratios de bois de coffrage, rendements de peinture et</t>
  </si>
  <si>
    <t>de carrelage. Les feuilles sont entierement liees entre elles : il suffit de modifier les</t>
  </si>
  <si>
    <t>dimensions d'un ouvrage pour que toutes les quantites et tous les couts se mettent a jour</t>
  </si>
  <si>
    <t>automatiquement, jusqu'au devis final.</t>
  </si>
  <si>
    <t>Maisons a etage : Fondation propose en plus une variante longrine + mur de soubassement,</t>
  </si>
  <si>
    <t>Elevation repete colonnes / ceinture / linteaux / maconnerie niveau par niveau (RDC, Etage 1,</t>
  </si>
  <si>
    <t>et ainsi de suite) et ajoute un escalier, Dalle propose une variante plancher hourdis, et</t>
  </si>
  <si>
    <t>Charpente_Couverture propose une toiture-terrasse accessible. Pour un batiment simple a un</t>
  </si>
  <si>
    <t>seul niveau, laissez a 0 les blocs Etage 1 et les variantes non utilisees.</t>
  </si>
  <si>
    <t>PLAN DU CLASSEUR</t>
  </si>
  <si>
    <t>Feuille</t>
  </si>
  <si>
    <t>Contenu</t>
  </si>
  <si>
    <t>Parametres</t>
  </si>
  <si>
    <t>Reference</t>
  </si>
  <si>
    <t>Dosages du beton, quantites unitaires, poids des aciers, ratios bois et clous, rendements peinture et carrelage (donnees issues du guide, ne pas modifier)</t>
  </si>
  <si>
    <t>Prix_Unitaires</t>
  </si>
  <si>
    <t>Saisie</t>
  </si>
  <si>
    <t>Prix des materiaux et taux de main d'oeuvre en FCFA, y compris les prix speciaux immeuble a etage (fouilles, hourdis, mur de soubassement, TVA). C'est ICI que l'on met a jour les prix pour chaque nouveau projet</t>
  </si>
  <si>
    <t>Fondation</t>
  </si>
  <si>
    <t>Calcul</t>
  </si>
  <si>
    <t>Fouilles, remblais, beton de proprete, semelles + amorces de poteaux (socle arme), fondation en moellon OU longrine + mur de soubassement (variante immeuble a etage), chape d'egalisation, beton de sous pavement</t>
  </si>
  <si>
    <t>Elevation</t>
  </si>
  <si>
    <t>Colonnes, ceinture, linteaux et maconnerie de blocs, repetes niveau par niveau (RDC, Etage 1...), plus un escalier</t>
  </si>
  <si>
    <t>Dalle</t>
  </si>
  <si>
    <t>Plancher haut de chaque niveau : dalle pleine en beton arme (methode detaillee) OU plancher hourdis (methode composite au m2)</t>
  </si>
  <si>
    <t>Finition</t>
  </si>
  <si>
    <t>Enduit interieur et exterieur, peinture, carrelage de sol, faience</t>
  </si>
  <si>
    <t>Charpente_Couverture</t>
  </si>
  <si>
    <t>Fermes et pannes en bois, tolerie de couverture, OU toiture-terrasse accessible avec acrotere (variante immeuble a etage)</t>
  </si>
  <si>
    <t>Sous_Detail_Prix</t>
  </si>
  <si>
    <t>Prix unitaire tout compris (materiaux + main d'oeuvre) de chaque ouvrage courant, au m3 ou au m2</t>
  </si>
  <si>
    <t>Devis_Particulier</t>
  </si>
  <si>
    <t>Resultat</t>
  </si>
  <si>
    <t>Bordereau detaille par nature de materiaux, corps d'etat par corps d'etat (modele pour un client particulier)</t>
  </si>
  <si>
    <t>Devis_Entreprise</t>
  </si>
  <si>
    <t>Bordereau par section (terrassement, fondation, RDC, etage, toiture) en prix tout compris, plus second oeuvre forfaitaire et TVA (modele entreprise / bureau d'etudes)</t>
  </si>
  <si>
    <t>CODE COULEUR</t>
  </si>
  <si>
    <t>Texte bleu</t>
  </si>
  <si>
    <t>Cellule de saisie : vous pouvez modifier cette valeur (dimensions, dosage, prix, quantite comptee)</t>
  </si>
  <si>
    <t>Texte noir</t>
  </si>
  <si>
    <t>Cellule calculee par une formule : ne pas modifier, la formule se met a jour automatiquement</t>
  </si>
  <si>
    <t>Texte vert</t>
  </si>
  <si>
    <t>Cellule qui reprend un resultat d'une autre feuille (lien entre feuilles)</t>
  </si>
  <si>
    <t>Fond jaune</t>
  </si>
  <si>
    <t>Hypothese cle a verifier en priorite pour chaque nouveau projet (dosage, prix, ratio)</t>
  </si>
  <si>
    <t>MODE D'EMPLOI EN 4 ETAPES</t>
  </si>
  <si>
    <t>1. Dans Prix_Unitaires, mettre a jour les prix des materiaux et les taux de main d'oeuvre du projet.</t>
  </si>
  <si>
    <t>2. Dans chaque feuille de calcul (Fondation, Elevation, Dalle, Finition, Charpente_Couverture),</t>
  </si>
  <si>
    <t xml:space="preserve">   saisir en bleu les dimensions reelles de l'ouvrage (nombre, longueur, largeur, hauteur, dosage).</t>
  </si>
  <si>
    <t>3. Verifier le tableau Resume en bas de chaque feuille : c'est lui qui alimente le devis final.</t>
  </si>
  <si>
    <t>4. Consulter Devis_Particulier ou Devis_Entreprise : le montant total se recalcule automatiquement.</t>
  </si>
  <si>
    <t>Reference : Guide Pratique du Devis et Metre, Ir BTP OTEMAKUMI LOTENGO Merlin (OLM SUPREME), edition 2023, www.4geniecivil.com.</t>
  </si>
  <si>
    <t>Classeur prepare pour Revolution BTP.</t>
  </si>
  <si>
    <t>PARAMETRES</t>
  </si>
  <si>
    <t>Constantes et tables de reference issues du Guide Pratique du Devis et Metre</t>
  </si>
  <si>
    <t>Ces valeurs alimentent, par un nom defini, toutes les formules des autres feuilles. Modifiez-les uniquement si vous appliquez des regles differentes de celles du guide.</t>
  </si>
  <si>
    <t>1. BETON FRAIS - COEFFICIENTS PAR M3 (methode volumetrique du guide, §1.4.1)</t>
  </si>
  <si>
    <t>Grandeur</t>
  </si>
  <si>
    <t>Valeur</t>
  </si>
  <si>
    <t>Unite</t>
  </si>
  <si>
    <t>Poids d'un sac de ciment</t>
  </si>
  <si>
    <t>kg</t>
  </si>
  <si>
    <t>Gravier apparent par m3 de beton (Volume x ce coefficient)</t>
  </si>
  <si>
    <t>m3 gravier / m3 beton</t>
  </si>
  <si>
    <t>Densite reelle du gravier</t>
  </si>
  <si>
    <t>t/m3</t>
  </si>
  <si>
    <t>Sable apparent par m3 de beton (Volume x ce coefficient)</t>
  </si>
  <si>
    <t>m3 sable / m3 beton</t>
  </si>
  <si>
    <t>Densite reelle du sable</t>
  </si>
  <si>
    <t>Volume d'une brouette</t>
  </si>
  <si>
    <t>m3 (60 litres)</t>
  </si>
  <si>
    <t>Eau de gachage = Volume x (Dosage / ce facteur)</t>
  </si>
  <si>
    <t>kg de ciment par litre d'eau</t>
  </si>
  <si>
    <t>Formules beton : Ciment(sacs)=Volume x Dosage / Poids_sac | Gravier(t)=Volume x Coef x Densite | Sable(t)=Volume x Coef x Densite | Eau(L)=Volume x Dosage/2</t>
  </si>
  <si>
    <t>Mortier de hourdage / jointoiement (sans gravier) : sable par m3 de mortier</t>
  </si>
  <si>
    <t>m3 sable / m3 mortier (regle pratique)</t>
  </si>
  <si>
    <t>Mortier de hourdage : eau = ciment(kg) x ce ratio</t>
  </si>
  <si>
    <t>L d'eau par kg de ciment</t>
  </si>
  <si>
    <t>Formules mortier de hourdage (moellon) : Ciment(sacs)=Volume x Dosage / Poids_sac | Sable(t)=Volume x Coef_Sable_Mortier x Densite_Sable | Eau(L)=Ciment(kg) x Ratio_Eau_Ciment_Mortier. Pas de gravier dans un mortier.</t>
  </si>
  <si>
    <t>Mortier de pose (joints) par bloc maconne - ancienne regle forfaitaire, conservee pour reference</t>
  </si>
  <si>
    <t>m3 de mortier / bloc (non utilisee dans les calculs, remplacee par la methode Sp)</t>
  </si>
  <si>
    <t>Dosage du mortier de pose des blocs</t>
  </si>
  <si>
    <t>kg de ciment/m3</t>
  </si>
  <si>
    <t>Epaisseur d'un joint de maconnerie</t>
  </si>
  <si>
    <t>m (1,5 cm), utilise pour la surface Sp du bloc avec joint</t>
  </si>
  <si>
    <t>Methode du bloc avec joint : Sp = (Longueur_bloc + Joint) x (Hauteur_bloc + Joint). Nombre de blocs = Surface nette / Sp. Volume de mortier = Nombre de blocs x (Sp - Longueur_bloc x Hauteur_bloc) x epaisseur du mur.</t>
  </si>
  <si>
    <t>2. DOSAGES COURANTS DU BETON (reference informative - guide p.7-9)</t>
  </si>
  <si>
    <t>Dosage (kg/m3)</t>
  </si>
  <si>
    <t>Ciment (sacs 50kg / m3)</t>
  </si>
  <si>
    <t>Eau (L/m3)</t>
  </si>
  <si>
    <t>Usage habituel</t>
  </si>
  <si>
    <t>Beton de proprete</t>
  </si>
  <si>
    <t>Mortier / usage courant</t>
  </si>
  <si>
    <t>Fondation en moellon, sous pavement, dallage</t>
  </si>
  <si>
    <t>Elevation blocs / mortier renforce</t>
  </si>
  <si>
    <t>Beton arme : semelles, colonnes, ceinture, dalle</t>
  </si>
  <si>
    <t>Beton arme fortement sollicite</t>
  </si>
  <si>
    <t>Beton arme haute resistance</t>
  </si>
  <si>
    <t>Beton arme tres haute resistance</t>
  </si>
  <si>
    <t>3. ACIERS A HAUTE ADHERENCE - POIDS PAR METRE (guide p.20)</t>
  </si>
  <si>
    <t>Diametre (mm)</t>
  </si>
  <si>
    <t>Section (cm2)</t>
  </si>
  <si>
    <t>Poids (kg/m)</t>
  </si>
  <si>
    <t>Pieces / tonne</t>
  </si>
  <si>
    <t>Longueur commerciale d'une barre</t>
  </si>
  <si>
    <t>m</t>
  </si>
  <si>
    <t>Longueur utile retenue pour le calcul (pertes deduites)</t>
  </si>
  <si>
    <t>Enrobage standard des aciers</t>
  </si>
  <si>
    <t>Longueur d'un crochet d'extremite (armature de semelle)</t>
  </si>
  <si>
    <t>m (guide p.21-22)</t>
  </si>
  <si>
    <t>Fil de ligature (fil de fer recuit) = poids aciers x ce taux</t>
  </si>
  <si>
    <t>5% du poids des aciers (guide p.20)</t>
  </si>
  <si>
    <t>Poids volumique de l'acier</t>
  </si>
  <si>
    <t>3 BIS. NUANCES D'ACIER (ronds lisses et haute adherence)</t>
  </si>
  <si>
    <t>Le coefficient de recouvrement (Ls/diametre) depend de la nuance de l'acier : plus l'adherence est faible (rond lisse), plus le recouvrement doit etre long. Les aciers principaux sont en general en HA ; les cadres/etriers sont souvent en rond lisse.</t>
  </si>
  <si>
    <t>Type</t>
  </si>
  <si>
    <t>Nuance</t>
  </si>
  <si>
    <t>Limite elastique</t>
  </si>
  <si>
    <t>Coef. recouvrement</t>
  </si>
  <si>
    <t>Rond lisse</t>
  </si>
  <si>
    <t>FeE215</t>
  </si>
  <si>
    <t>FeE235</t>
  </si>
  <si>
    <t>Haute adherence</t>
  </si>
  <si>
    <t>FeE400 (HA400)</t>
  </si>
  <si>
    <t>FeE500 (HA500)</t>
  </si>
  <si>
    <t>Nuance HA utilisee par defaut pour les aciers principaux</t>
  </si>
  <si>
    <t>doit correspondre exactement a une valeur de la colonne Nuance ci-dessus</t>
  </si>
  <si>
    <t>Nuance rond lisse utilisee par defaut pour les cadres/etriers</t>
  </si>
  <si>
    <t>Formule : Longueur de recouvrement Ls = diametre(m) x coefficient de la nuance retenue. Chaque bloc d'armature indique sa nuance (HA ou RL) ; le classeur va chercher le coefficient correspondant dans le tableau ci-dessus.</t>
  </si>
  <si>
    <t>4. COEFFICIENTS GENERAUX</t>
  </si>
  <si>
    <t>Coefficient de tassement (remblais / deblais)</t>
  </si>
  <si>
    <t>guide p.19</t>
  </si>
  <si>
    <t>Majoration standard a l'achat (pertes, chutes)</t>
  </si>
  <si>
    <t>10% (guide, methode ratio p.27)</t>
  </si>
  <si>
    <t>Densite du moellon en oeuvre</t>
  </si>
  <si>
    <t>t/m3 (guide p.42)</t>
  </si>
  <si>
    <t>Part du moellon dans la maconnerie en moellon</t>
  </si>
  <si>
    <t>70% moellon / 30% mortier (guide p.10)</t>
  </si>
  <si>
    <t>Poids specifique du beton frais</t>
  </si>
  <si>
    <t>kg/m3 (guide p.13)</t>
  </si>
  <si>
    <t>Densite moyenne des deblais / remblais</t>
  </si>
  <si>
    <t>t/m3 (guide p.72 : Vt = 1,5 x Volume)</t>
  </si>
  <si>
    <t>5. BOIS DE COFFRAGE, CHARPENTE ET CLOUS (guide p.24-32)</t>
  </si>
  <si>
    <t>Planche standard - longueur</t>
  </si>
  <si>
    <t>Planche standard - largeur</t>
  </si>
  <si>
    <t>Planche standard - epaisseur</t>
  </si>
  <si>
    <t>Volume d'un chevron de traverse (5x5cm, 5m)</t>
  </si>
  <si>
    <t>m3/piece</t>
  </si>
  <si>
    <t>Volume des traverses = volume coffrage principal x ce taux</t>
  </si>
  <si>
    <t>20% (guide p.26)</t>
  </si>
  <si>
    <t>Ratio coffrage Semelle (m2 coffrage / m3 beton)</t>
  </si>
  <si>
    <t>guide p.26</t>
  </si>
  <si>
    <t>Ratio coffrage Poteau / Colonne (m2/m3)</t>
  </si>
  <si>
    <t>Ratio coffrage Poutre / Ceinture (m2/m3)</t>
  </si>
  <si>
    <t>moyenne 10 a 12, guide p.26</t>
  </si>
  <si>
    <t>Ratio coffrage Chainage / Longrine (m2/m3)</t>
  </si>
  <si>
    <t>Ratio coffrage Dalle (m2 coffrage / m2 dalle)</t>
  </si>
  <si>
    <t>Clous pour coffrage bois</t>
  </si>
  <si>
    <t>kg/m2 (guide p.32)</t>
  </si>
  <si>
    <t>Clous pour charpente bois</t>
  </si>
  <si>
    <t>kg/m3 (moyenne 15-25, guide p.32)</t>
  </si>
  <si>
    <t>Clous / pointes pour couverture</t>
  </si>
  <si>
    <t>kg/m2, x2 pans (guide p.32 et p.64)</t>
  </si>
  <si>
    <t>6. ENDUIT, PEINTURE ET CARRELAGE (guide p.12, 30-31)</t>
  </si>
  <si>
    <t>Ciment pour enduisage des murs</t>
  </si>
  <si>
    <t>kg/m2 (guide p.12)</t>
  </si>
  <si>
    <t>Rendement latex (2 couches)</t>
  </si>
  <si>
    <t>m2 par kg</t>
  </si>
  <si>
    <t>Rendement peinture classique (par couche)</t>
  </si>
  <si>
    <t>m2 par litre</t>
  </si>
  <si>
    <t>Rendement chaux (par couche)</t>
  </si>
  <si>
    <t>Nombre de couches standard</t>
  </si>
  <si>
    <t>couches</t>
  </si>
  <si>
    <t>Ciment colle (encollage standard)</t>
  </si>
  <si>
    <t>kg/m2 (guide p.31)</t>
  </si>
  <si>
    <t>Sable du mortier de pose (par cm d'epaisseur)</t>
  </si>
  <si>
    <t>litres/m2/cm (guide p.12)</t>
  </si>
  <si>
    <t>Surface d'un carreau 30x30</t>
  </si>
  <si>
    <t>m2/piece, 12 pieces/carton</t>
  </si>
  <si>
    <t>Surface d'une faience 25x40</t>
  </si>
  <si>
    <t>m2/piece, 10 pieces/carton</t>
  </si>
  <si>
    <t>Majoration carreaux / faience (casse, coupes)</t>
  </si>
  <si>
    <t>10% (guide p.31)</t>
  </si>
  <si>
    <t>PRIX UNITAIRES</t>
  </si>
  <si>
    <t>Prix des materiaux et taux de main d'oeuvre du projet (FCFA) - a mettre a jour pour chaque devis</t>
  </si>
  <si>
    <t>Toutes les cellules bleues ci-dessous sont modifiables. Elles alimentent automatiquement Sous_Detail_Prix puis les deux devis finaux.</t>
  </si>
  <si>
    <t>A. MATERIAUX DE BASE</t>
  </si>
  <si>
    <t>Materiau</t>
  </si>
  <si>
    <t>Prix unitaire</t>
  </si>
  <si>
    <t>Ciment</t>
  </si>
  <si>
    <t>sac 50kg</t>
  </si>
  <si>
    <t>Sable</t>
  </si>
  <si>
    <t>tonne</t>
  </si>
  <si>
    <t>Gravier</t>
  </si>
  <si>
    <t>Moellon</t>
  </si>
  <si>
    <t>Eau de gachage</t>
  </si>
  <si>
    <t>m3</t>
  </si>
  <si>
    <t>B. ACIERS ET FIL DE LIGATURE (barre commerciale de 12 m)</t>
  </si>
  <si>
    <t>Aciers HA (haute adherence) : utilises pour l'armature principale. Prix par barre de 12m.</t>
  </si>
  <si>
    <t>Acier</t>
  </si>
  <si>
    <t>Rond / HA de 6 mm</t>
  </si>
  <si>
    <t>barre 12m</t>
  </si>
  <si>
    <t>Rond / HA de 8 mm</t>
  </si>
  <si>
    <t>Rond / HA de 10 mm</t>
  </si>
  <si>
    <t>Rond / HA de 12 mm</t>
  </si>
  <si>
    <t>Rond / HA de 14 mm</t>
  </si>
  <si>
    <t>Rond / HA de 16 mm</t>
  </si>
  <si>
    <t>Aciers ronds lisses (adherence normale) : souvent utilises pour les cadres/etriers, moins chers que le HA. Prix par barre de 12m.</t>
  </si>
  <si>
    <t>Rond lisse de 6 mm</t>
  </si>
  <si>
    <t>Rond lisse de 8 mm</t>
  </si>
  <si>
    <t>Rond lisse de 10 mm</t>
  </si>
  <si>
    <t>Rond lisse de 12 mm</t>
  </si>
  <si>
    <t>Fil de ligature (fil de fer recuit)</t>
  </si>
  <si>
    <t>C. BOIS, MACONNERIE ET COUVERTURE</t>
  </si>
  <si>
    <t>Planche de coffrage (3,00 x 0,30 x 0,05 m)</t>
  </si>
  <si>
    <t>piece</t>
  </si>
  <si>
    <t>Chevron / madrier (5 x 5 cm, 5 m)</t>
  </si>
  <si>
    <t>Clous / pointes</t>
  </si>
  <si>
    <t>Bloc creux (agglo) de 15 cm, 40x20</t>
  </si>
  <si>
    <t>Bloc creux (agglo) de 20 cm, 40x20</t>
  </si>
  <si>
    <t>Tole BG28, 3,00 x 0,90 m</t>
  </si>
  <si>
    <t>Tole faitiere, 2,50 m</t>
  </si>
  <si>
    <t>Peinture / lasure a bois</t>
  </si>
  <si>
    <t>litre</t>
  </si>
  <si>
    <t>D. FINITION</t>
  </si>
  <si>
    <t>Ciment colle</t>
  </si>
  <si>
    <t>Chaux</t>
  </si>
  <si>
    <t>Peinture latex</t>
  </si>
  <si>
    <t>Peinture classique (glycero / eau)</t>
  </si>
  <si>
    <t>Carreaux de sol 30x30</t>
  </si>
  <si>
    <t>carton (12 pcs)</t>
  </si>
  <si>
    <t>Faience murale 25x40</t>
  </si>
  <si>
    <t>carton (10 pcs)</t>
  </si>
  <si>
    <t>E. MAIN D'OEUVRE ET FRAIS GENERAUX</t>
  </si>
  <si>
    <t>Poste</t>
  </si>
  <si>
    <t>Base</t>
  </si>
  <si>
    <t>Taux / montant</t>
  </si>
  <si>
    <t>Installation et repli de chantier</t>
  </si>
  <si>
    <t>forfait</t>
  </si>
  <si>
    <t>Main d'oeuvre (gros oeuvre : beton, macon, ferrailleur)</t>
  </si>
  <si>
    <t>% des materiaux</t>
  </si>
  <si>
    <t>Main d'oeuvre (finition, charpente, couverture)</t>
  </si>
  <si>
    <t>Imprevus</t>
  </si>
  <si>
    <t>% du sous total travaux</t>
  </si>
  <si>
    <t>Transport des materiaux</t>
  </si>
  <si>
    <t>Honoraires Architecte</t>
  </si>
  <si>
    <t>% du cout des travaux</t>
  </si>
  <si>
    <t>Honoraires Ingenieur (etude + suivi)</t>
  </si>
  <si>
    <t>TVA (si applicable, style devis entreprise)</t>
  </si>
  <si>
    <t>% du montant HT</t>
  </si>
  <si>
    <t>Taux de main d'oeuvre et honoraires proposes a titre indicatif (ordre de grandeur courant au Cameroun) - guide p.78 : main d'oeuvre 10 a 30% ; honoraires architecte 8 a 15% ; ingenieur 6 a 12%.</t>
  </si>
  <si>
    <t>F. IMMEUBLES A ETAGE - TERRASSEMENT DETAILLE ET ELEMENTS COMPLEMENTAIRES</t>
  </si>
  <si>
    <t>Prix tout compris (comme en E), utilises pour les projets a plusieurs niveaux (villa R+1 et plus).</t>
  </si>
  <si>
    <t>Prix tout compris</t>
  </si>
  <si>
    <t>Amenee et repli de materiel de chantier</t>
  </si>
  <si>
    <t>Fouilles en puits (semelles isolees)</t>
  </si>
  <si>
    <t>Fouilles en tranchee (longrines)</t>
  </si>
  <si>
    <t>Remblais sous dallage</t>
  </si>
  <si>
    <t>Remblais au droit des fondations</t>
  </si>
  <si>
    <t>Evacuation des deblais excedentaires</t>
  </si>
  <si>
    <t>Mur de soubassement en agglos pleins de 15</t>
  </si>
  <si>
    <t>m2</t>
  </si>
  <si>
    <t>Plancher hourdis 12+4</t>
  </si>
  <si>
    <t>Plancher hourdis 16+4</t>
  </si>
  <si>
    <t>Scellement et calfeutrement des huisseries</t>
  </si>
  <si>
    <t>ml</t>
  </si>
  <si>
    <t>Dressement des tableaux</t>
  </si>
  <si>
    <t>Forme de pente sur terrasse accessible</t>
  </si>
  <si>
    <t>Valeurs par defaut reprises d'un devis entreprise reel (villa R+1, meme ordre de grandeur FCFA que le reste du classeur) ; a ajuster selon votre marche.</t>
  </si>
  <si>
    <t>1. FONDATION</t>
  </si>
  <si>
    <t>Fouilles, beton de proprete, semelles + amorces armees, fondation en moellon, chape, beton de sous pavement, remblais</t>
  </si>
  <si>
    <t>1.1 FOUILLES</t>
  </si>
  <si>
    <t>Fouilles ponctuelles sous chaque semelle isolee.</t>
  </si>
  <si>
    <t>Designation</t>
  </si>
  <si>
    <t>Nombre</t>
  </si>
  <si>
    <t>Longueur (m)</t>
  </si>
  <si>
    <t>Largeur (m)</t>
  </si>
  <si>
    <t>Profondeur (m)</t>
  </si>
  <si>
    <t>Volume unit. (m3)</t>
  </si>
  <si>
    <t>Volume total (m3)</t>
  </si>
  <si>
    <t>Fouille semelle - type 1</t>
  </si>
  <si>
    <t>Fouille semelle - type 2</t>
  </si>
  <si>
    <t>Total fouilles ponctuelles</t>
  </si>
  <si>
    <t>Fouille en rigole continue (fondation filante). Le perimetre est mesure a l'axe de la tranchee.</t>
  </si>
  <si>
    <t>Perimetre (m)</t>
  </si>
  <si>
    <t>Fouille filante (fondation continue)</t>
  </si>
  <si>
    <t>Note : par simplicite, ce classeur retient UN SEUL perimetre pour toutes les couches de la fondation filante (fouille, beton de proprete, moellon, chape). Si votre semelle filante s'evase avec la profondeur (redans), mesurez et saisissez un perimetre different a chaque section concernee.</t>
  </si>
  <si>
    <t>1.2 BETON DE PROPRETE</t>
  </si>
  <si>
    <t>Sous chaque semelle isolee, puis sous la fondation filante.</t>
  </si>
  <si>
    <t>Element</t>
  </si>
  <si>
    <t>Longueur / Perimetre (m)</t>
  </si>
  <si>
    <t>Epaisseur (m)</t>
  </si>
  <si>
    <t>Sous semelles isolees</t>
  </si>
  <si>
    <t>Sous fondation filante</t>
  </si>
  <si>
    <t>Volume total beton de proprete</t>
  </si>
  <si>
    <t>Materiaux</t>
  </si>
  <si>
    <t>Formule</t>
  </si>
  <si>
    <t>Quantite</t>
  </si>
  <si>
    <t>sacs</t>
  </si>
  <si>
    <t>tonnes</t>
  </si>
  <si>
    <t>Eau</t>
  </si>
  <si>
    <t>litres</t>
  </si>
  <si>
    <t>1.3 SEMELLE ISOLEE + AMORCE DE POTEAU (SOCLE ARME)</t>
  </si>
  <si>
    <t>Hauteur (m)</t>
  </si>
  <si>
    <t>Semelle (empattement)</t>
  </si>
  <si>
    <t>Colonne / amorce de poteau</t>
  </si>
  <si>
    <t>Volume total beton arme (socle)</t>
  </si>
  <si>
    <t>Armature - maillage de la semelle (2 nappes croisees)</t>
  </si>
  <si>
    <t>Espacement (m)</t>
  </si>
  <si>
    <t>Nbre barres/sens</t>
  </si>
  <si>
    <t>Ld / barre (m)</t>
  </si>
  <si>
    <t>Recouvrt (m)</t>
  </si>
  <si>
    <t>Nbre barres 12m</t>
  </si>
  <si>
    <t>Poids (kg)</t>
  </si>
  <si>
    <t>Le nombre de files (colonne D) est calcule pour un seul sens ; le nombre total de barres a acheter (colonne G) tient compte des 2 nappes croisees et des 12 semelles.</t>
  </si>
  <si>
    <t>Armature - colonne / amorce (barres verticales + cadres)</t>
  </si>
  <si>
    <t>Nbre barres/colonne</t>
  </si>
  <si>
    <t>Nbre total files</t>
  </si>
  <si>
    <t>Ld colonne = hauteur de la colonne + ancrage dans la semelle + longueur de recouvrement pour la reprise du poteau (methode generale, guide p.22).</t>
  </si>
  <si>
    <t>Cadre colonne</t>
  </si>
  <si>
    <t>espacement (m)</t>
  </si>
  <si>
    <t>Nbre cadres/colonne</t>
  </si>
  <si>
    <t>Ld / cadre (m)</t>
  </si>
  <si>
    <t>Fil de ligature (5% du poids des aciers du socle)</t>
  </si>
  <si>
    <t>Coffrage bois (semelle + colonne)</t>
  </si>
  <si>
    <t>Surface a coffrer</t>
  </si>
  <si>
    <t>Perimetre semelle x hauteur x nombre + perimetre colonne x hauteur x nombre</t>
  </si>
  <si>
    <t>Nombre de planches (majore de 10%)</t>
  </si>
  <si>
    <t>Volume bois (planches)</t>
  </si>
  <si>
    <t>Volume traverses (20%) et nombre de chevrons</t>
  </si>
  <si>
    <t>chevrons</t>
  </si>
  <si>
    <t>Volume total bois de coffrage (socle)</t>
  </si>
  <si>
    <t>Clous</t>
  </si>
  <si>
    <t>1.4 FONDATION EN MOELLON</t>
  </si>
  <si>
    <t>Dosage du mortier de hourdage (kg/m3)</t>
  </si>
  <si>
    <t>Base / largeur (m)</t>
  </si>
  <si>
    <t>Maconnerie en moellon</t>
  </si>
  <si>
    <t>Repartition</t>
  </si>
  <si>
    <t>Moellon (70% du volume)</t>
  </si>
  <si>
    <t>Mortier de hourdage (30% du volume)</t>
  </si>
  <si>
    <t xml:space="preserve">  Ciment</t>
  </si>
  <si>
    <t xml:space="preserve">  Sable</t>
  </si>
  <si>
    <t xml:space="preserve">  Eau</t>
  </si>
  <si>
    <t>1.5 CHAPE D'EGALISATION</t>
  </si>
  <si>
    <t>Chape d'egalisation</t>
  </si>
  <si>
    <t>Surface de coffrage (2 faces de la chape)</t>
  </si>
  <si>
    <t>Nombre de planches</t>
  </si>
  <si>
    <t>Volume total bois de coffrage</t>
  </si>
  <si>
    <t>1.6 BETON DE SOUS PAVEMENT</t>
  </si>
  <si>
    <t>Beton de sous pavement (sous dallage)</t>
  </si>
  <si>
    <t>1.7 DEBLAIS ET REMBLAIS</t>
  </si>
  <si>
    <t>Methode du guide (p.45-46) : le remblai correspond au vide qui subsiste dans la fouille une fois les ouvrages enterres en place, plus le nivellement general de l'espace a batir.</t>
  </si>
  <si>
    <t>Espace a batir</t>
  </si>
  <si>
    <t>Epaisseur nivellement (m)</t>
  </si>
  <si>
    <t>Volume (m3)</t>
  </si>
  <si>
    <t>Emprise generale du batiment</t>
  </si>
  <si>
    <t>Deblais et remblais</t>
  </si>
  <si>
    <t>DEBLAIS (fouilles semelles + fouille filante) x coefficient de tassement</t>
  </si>
  <si>
    <t>Vide autour des semelles (fouille - beton - proprete - colonne) x Nbre x Ct</t>
  </si>
  <si>
    <t>Vide le long de la fondation filante (fouille - proprete - moellon) x Ct</t>
  </si>
  <si>
    <t>Nivellement de l'espace a batir x Ct</t>
  </si>
  <si>
    <t>REMBLAIS TOTAL</t>
  </si>
  <si>
    <t>Un MAX(0;...) protege le calcul si les dimensions saisies font que l'ouvrage enterre occupe toute la fouille (vide nul, pas de remblai negatif).</t>
  </si>
  <si>
    <t>Evacuation des deblais excedentaires (deblais - remblais reemployes)</t>
  </si>
  <si>
    <t>1.9 LONGRINE ET MUR DE SOUBASSEMENT (variante immeuble a etage)</t>
  </si>
  <si>
    <t>Variante moderne de fondation reliant les semelles par une poutre armee (longrine), avec un mur de soubassement en agglos pleins au lieu de la fondation en moellon. Laissez a 0 les lignes que vous n'utilisez pas (moellon OU longrine).</t>
  </si>
  <si>
    <t>Largeur b (m)</t>
  </si>
  <si>
    <t>Hauteur H (m)</t>
  </si>
  <si>
    <t>Volume brut (m3)</t>
  </si>
  <si>
    <t>Volume net (m3)</t>
  </si>
  <si>
    <t>Longrine</t>
  </si>
  <si>
    <t>Le volume net deduit, a chaque amorce de poteau, le volume commun a la longrine et au poteau (deja compte dans le beton du socle).</t>
  </si>
  <si>
    <t>Armature principale (le long du perimetre)</t>
  </si>
  <si>
    <t>Nbre barres/longrine</t>
  </si>
  <si>
    <t>Ld = perimetre (m)</t>
  </si>
  <si>
    <t>Cadre</t>
  </si>
  <si>
    <t>Nbre cadres</t>
  </si>
  <si>
    <t>Fil de ligature (5%)</t>
  </si>
  <si>
    <t>Coffrage bois (2 faces)</t>
  </si>
  <si>
    <t>Mur de soubassement (agglos pleins)</t>
  </si>
  <si>
    <t>Surface (m2)</t>
  </si>
  <si>
    <t>Mur de soubassement</t>
  </si>
  <si>
    <t>1.8 RESUME FONDATION</t>
  </si>
  <si>
    <t>Volumes par nature d'ouvrage (pour le devis par corps d'etat).</t>
  </si>
  <si>
    <t>Ouvrage</t>
  </si>
  <si>
    <t>Dosage</t>
  </si>
  <si>
    <t>Volume</t>
  </si>
  <si>
    <t>Semelles + amorces de poteaux (beton arme)</t>
  </si>
  <si>
    <t>Fondation en moellon (maconnerie complete)</t>
  </si>
  <si>
    <t>-</t>
  </si>
  <si>
    <t>Beton de sous pavement</t>
  </si>
  <si>
    <t>Deblais</t>
  </si>
  <si>
    <t>Remblais</t>
  </si>
  <si>
    <t>Fouilles en tranchee (longrines / fondation filante)</t>
  </si>
  <si>
    <t>Longrine (beton arme, variante immeuble a etage)</t>
  </si>
  <si>
    <t>Mur de soubassement en agglos pleins</t>
  </si>
  <si>
    <t>Materiaux totaux (pour le devis detaille par nature de materiaux).</t>
  </si>
  <si>
    <t>Quantite totale</t>
  </si>
  <si>
    <t>Bois de coffrage (planches)</t>
  </si>
  <si>
    <t>pieces</t>
  </si>
  <si>
    <t>Bois de coffrage (chevrons)</t>
  </si>
  <si>
    <t>Bois de coffrage (volume)</t>
  </si>
  <si>
    <t>Fil de ligature</t>
  </si>
  <si>
    <t>Aciers par diametre (socle : maillage de semelle, colonne, cadre).</t>
  </si>
  <si>
    <t>Maillage de semelle</t>
  </si>
  <si>
    <t>Colonne / amorce</t>
  </si>
  <si>
    <t>Longrine - principale</t>
  </si>
  <si>
    <t>Longrine - cadre</t>
  </si>
  <si>
    <t>Total poids acier fondation</t>
  </si>
  <si>
    <t>2. ELEVATION</t>
  </si>
  <si>
    <t>Colonnes, ceinture, linteaux, escalier et maconnerie - niveau par niveau (RDC, Etage 1...)</t>
  </si>
  <si>
    <t>Pour un batiment a un seul niveau, laissez a 0 les quantites du bloc Etage 1. Pour un batiment R+2 ou plus, dupliquez un bloc Etage (copier les lignes) et ajoutez-le au Resume en bas de feuille.</t>
  </si>
  <si>
    <t>2.1 COLONNES / POTEAUX EN BETON ARME</t>
  </si>
  <si>
    <t>Colonnes - REZ-DE-CHAUSSEE (RDC)</t>
  </si>
  <si>
    <t>Section a (m)</t>
  </si>
  <si>
    <t>Section b (m)</t>
  </si>
  <si>
    <t>Poteaux</t>
  </si>
  <si>
    <t>Armature principale</t>
  </si>
  <si>
    <t>diam(mm) / nbre barres par poteau</t>
  </si>
  <si>
    <t>Diametre</t>
  </si>
  <si>
    <t>Ld/barre (m)</t>
  </si>
  <si>
    <t>Nbre files</t>
  </si>
  <si>
    <t>Ld/cadre (m)</t>
  </si>
  <si>
    <t>Coffrage (perimetre x hauteur x nombre)</t>
  </si>
  <si>
    <t>Traverses (20%) et chevrons</t>
  </si>
  <si>
    <t>Volume total bois</t>
  </si>
  <si>
    <t>Colonnes - ETAGE 1</t>
  </si>
  <si>
    <t>2.2 CEINTURE / CHAINAGE (un anneau par plancher haut)</t>
  </si>
  <si>
    <t>Ceinture haute du RDC (support du plancher Etage 1)</t>
  </si>
  <si>
    <t>Poutre / ceinture</t>
  </si>
  <si>
    <t>diam(mm) / nbre barres</t>
  </si>
  <si>
    <t>Ld=perimetre (m)</t>
  </si>
  <si>
    <t>Coffrage (perimetre x hauteur x 2 faces)</t>
  </si>
  <si>
    <t>Ceinture haute de l'Etage 1 (chainage de couronnement)</t>
  </si>
  <si>
    <t>2.3 LINTEAUX ET APPUIS (au-dessus des baies)</t>
  </si>
  <si>
    <t>Linteaux - RDC</t>
  </si>
  <si>
    <t>Longueur moy. (m)</t>
  </si>
  <si>
    <t>Linteaux / appuis</t>
  </si>
  <si>
    <t>Armature (2 files par linteau)</t>
  </si>
  <si>
    <t>Coffrage (2 faces + fond)</t>
  </si>
  <si>
    <t>Volume bois total (planches + 20% traverses)</t>
  </si>
  <si>
    <t>Linteaux - ETAGE 1</t>
  </si>
  <si>
    <t>2.4 ESCALIER (beton arme)</t>
  </si>
  <si>
    <t>Le ferraillage d'un escalier (paillasse + marches) est specifique a chaque projet : ce bloc utilise un ratio moyen d'acier au m3 plutot qu'un calcul barre par barre.</t>
  </si>
  <si>
    <t>Volume de beton de l'escalier (paillasse + marches)</t>
  </si>
  <si>
    <t>Ratio moyen d'acier</t>
  </si>
  <si>
    <t>kg/m3 (a ajuster selon note de calcul)</t>
  </si>
  <si>
    <t>Poids d'acier (tous diametres, escalier)</t>
  </si>
  <si>
    <t>Diametre principal retenu (pour l'achat des barres)</t>
  </si>
  <si>
    <t>Nombre de barres 12m equivalent</t>
  </si>
  <si>
    <t>Coffrage (ratio poutre/dalle, 12 m2/m3)</t>
  </si>
  <si>
    <t>2.5 MACONNERIE DE BLOCS (AGGLOS)</t>
  </si>
  <si>
    <t>Maconnerie - RDC</t>
  </si>
  <si>
    <t>Surface brute des murs</t>
  </si>
  <si>
    <t>Ouvertures a deduire</t>
  </si>
  <si>
    <t>Portes</t>
  </si>
  <si>
    <t>Fenetres</t>
  </si>
  <si>
    <t>Surface des colonnes (a deduire)</t>
  </si>
  <si>
    <t>Surface nette de maconnerie</t>
  </si>
  <si>
    <t>Dimension du bloc (L x H) et epaisseur du mur</t>
  </si>
  <si>
    <t>L / H / epaisseur (m)</t>
  </si>
  <si>
    <t>Surface du bloc avec joint : Sp = (L+joint) x (H+joint)</t>
  </si>
  <si>
    <t>Nombre de blocs (surface nette / Sp)</t>
  </si>
  <si>
    <t>blocs</t>
  </si>
  <si>
    <t>Volume de mortier de pose (joints x epaisseur du mur)</t>
  </si>
  <si>
    <t>Maconnerie - ETAGE 1</t>
  </si>
  <si>
    <t>2.6 RESUME ELEVATION</t>
  </si>
  <si>
    <t>Volumes / surfaces par nature d'ouvrage et par niveau.</t>
  </si>
  <si>
    <t>Colonnes RDC (beton arme)</t>
  </si>
  <si>
    <t>Colonnes Etage 1 (beton arme)</t>
  </si>
  <si>
    <t>Ceinture RDC (beton arme)</t>
  </si>
  <si>
    <t>Ceinture Etage 1 (beton arme)</t>
  </si>
  <si>
    <t>Linteaux RDC (beton arme)</t>
  </si>
  <si>
    <t>Linteaux Etage 1 (beton arme)</t>
  </si>
  <si>
    <t>Escalier (beton arme)</t>
  </si>
  <si>
    <t>Maconnerie RDC (surface nette)</t>
  </si>
  <si>
    <t>Maconnerie Etage 1 (surface nette)</t>
  </si>
  <si>
    <t>Blocs / agglos</t>
  </si>
  <si>
    <t>Aciers par diametre.</t>
  </si>
  <si>
    <t>Colonnes RDC - principale</t>
  </si>
  <si>
    <t>Colonnes RDC - cadre</t>
  </si>
  <si>
    <t>Colonnes Etage1 - principale</t>
  </si>
  <si>
    <t>Colonnes Etage1 - cadre</t>
  </si>
  <si>
    <t>Ceinture RDC - principale</t>
  </si>
  <si>
    <t>Ceinture RDC - cadre</t>
  </si>
  <si>
    <t>Ceinture Etage1 - principale</t>
  </si>
  <si>
    <t>Ceinture Etage1 - cadre</t>
  </si>
  <si>
    <t>Linteaux RDC</t>
  </si>
  <si>
    <t>Linteaux Etage1</t>
  </si>
  <si>
    <t>Escalier</t>
  </si>
  <si>
    <t>Total poids acier elevation</t>
  </si>
  <si>
    <t>3. PLANCHER (DALLE)</t>
  </si>
  <si>
    <t>Plancher haut de chaque niveau : dalle pleine (methode detaillee) ou hourdis (methode composite)</t>
  </si>
  <si>
    <t>Pour chaque niveau, choisissez UNE methode : remplissez soit le bloc 'dalle pleine', soit le bloc 'hourdis', et laissez l'autre a 0 (Nombre/Longueur=0). Le dernier plancher haut (sous toiture ou terrasse) est aussi a saisir ici si vous coulez une dalle plutot qu'une toiture en tole (voir feuille Charpente_Couverture).</t>
  </si>
  <si>
    <t>3.1 PLANCHER HAUT RDC (entre RDC et Etage 1)</t>
  </si>
  <si>
    <t>Dalle pleine - Plancher haut RDC</t>
  </si>
  <si>
    <t>Longueur L (m)</t>
  </si>
  <si>
    <t>Largeur l (m)</t>
  </si>
  <si>
    <t>Epaisseur e (m)</t>
  </si>
  <si>
    <t>Dalle pleine</t>
  </si>
  <si>
    <t>Ld (m)</t>
  </si>
  <si>
    <t>Coffrage / etaiement (surface x ratio)</t>
  </si>
  <si>
    <t>Hourdis - Plancher haut RDC</t>
  </si>
  <si>
    <t>Surface</t>
  </si>
  <si>
    <t>Plancher hourdis</t>
  </si>
  <si>
    <t>12+4</t>
  </si>
  <si>
    <t>Type '12+4' ou '16+4' (hourdis + dalle de compression) : systeme livre et pose par un fournisseur specialise, prix tout compris au m2 (voir Sous_Detail_Prix).</t>
  </si>
  <si>
    <t>3.2 PLANCHER HAUT ETAGE 1 (toiture-terrasse ou sous comble)</t>
  </si>
  <si>
    <t>Dalle pleine - Plancher haut Etage 1</t>
  </si>
  <si>
    <t>Hourdis - Plancher haut Etage 1</t>
  </si>
  <si>
    <t>3.3 RESUME PLANCHER</t>
  </si>
  <si>
    <t>Volume beton arme (dalle pleine, RDC+Etage1)</t>
  </si>
  <si>
    <t>Surface plancher hourdis (RDC+Etage1)</t>
  </si>
  <si>
    <t>Ciment (dalle pleine)</t>
  </si>
  <si>
    <t>Gravier (dalle pleine)</t>
  </si>
  <si>
    <t>Sable (dalle pleine)</t>
  </si>
  <si>
    <t>Eau (dalle pleine)</t>
  </si>
  <si>
    <t>Armature</t>
  </si>
  <si>
    <t>RDC - nappe suivant L</t>
  </si>
  <si>
    <t>RDC - nappe suivant l</t>
  </si>
  <si>
    <t>Etage1 - nappe suivant L</t>
  </si>
  <si>
    <t>Etage1 - nappe suivant l</t>
  </si>
  <si>
    <t>Total poids acier plancher (dalle pleine)</t>
  </si>
  <si>
    <t>4. FINITION</t>
  </si>
  <si>
    <t>Enduit, peinture, carrelage de sol et faience</t>
  </si>
  <si>
    <t>4.1 ENDUIT (INTERIEUR + EXTERIEUR)</t>
  </si>
  <si>
    <t>Surface totale a enduire (2 faces des murs)</t>
  </si>
  <si>
    <t>Regle du guide (p.12) : 8 kg de ciment par m2 a enduire. Le sable et l'eau suivent le meme mortier de pose que la maconnerie (dosage 300 kg/m3).</t>
  </si>
  <si>
    <t>4.2 PEINTURE</t>
  </si>
  <si>
    <t>Surface totale a peindre</t>
  </si>
  <si>
    <t>Les 3 lignes ci-dessous sont 3 options alternatives (meme surface) : le devis final n'en retient qu'une (peinture latex par defaut).</t>
  </si>
  <si>
    <t>Option A - Peinture latex (2 couches)</t>
  </si>
  <si>
    <t>Option B - Peinture classique (glycero/eau)</t>
  </si>
  <si>
    <t>Option C - Badigeon a la chaux</t>
  </si>
  <si>
    <t>4.3 CARRELAGE DE SOL</t>
  </si>
  <si>
    <t>Epaisseur mortier (m)</t>
  </si>
  <si>
    <t>Surface de sol a carreler</t>
  </si>
  <si>
    <t>Nombre de carreaux (30x30, majore de 10%)</t>
  </si>
  <si>
    <t>Cartons de carreaux (12 pieces)</t>
  </si>
  <si>
    <t>cartons</t>
  </si>
  <si>
    <t>Sable du mortier de pose</t>
  </si>
  <si>
    <t>Ciment du mortier de pose</t>
  </si>
  <si>
    <t>4.4 FAIENCE MURALE (cuisine, sanitaires)</t>
  </si>
  <si>
    <t>Surface murale a habiller</t>
  </si>
  <si>
    <t>Nombre de faience (25x40, majore de 10%)</t>
  </si>
  <si>
    <t>Cartons de faience (10 pieces)</t>
  </si>
  <si>
    <t>4.5 RESUME FINITION</t>
  </si>
  <si>
    <t>Ciment (enduit + mortier de pose carrelage)</t>
  </si>
  <si>
    <t>Sable (enduit + mortier de pose carrelage)</t>
  </si>
  <si>
    <t>Ciment colle (carrelage + faience)</t>
  </si>
  <si>
    <t>Peinture latex (option retenue par defaut)</t>
  </si>
  <si>
    <t>Carreaux de sol</t>
  </si>
  <si>
    <t>Faience murale</t>
  </si>
  <si>
    <t>Surfaces retenues pour le devis (pour reference).</t>
  </si>
  <si>
    <t>Enduit / peinture</t>
  </si>
  <si>
    <t>Carrelage de sol</t>
  </si>
  <si>
    <t>5. CHARPENTE ET COUVERTURE</t>
  </si>
  <si>
    <t>Fermes et pannes en bois (methode simplifiee), tolerie de couverture</t>
  </si>
  <si>
    <t>5.1 CHARPENTE BOIS</t>
  </si>
  <si>
    <t>Methode simplifiee : la longueur developpee de chaque ferme (entrait + 2 arbaletriers) est majoree forfaitairement de 15% pour couvrir poinçon, fiches, contre-fiches et assemblages. Pour une charpente complexe, faites calculer la note de charpente par un bureau d'etudes.</t>
  </si>
  <si>
    <t>Parametre</t>
  </si>
  <si>
    <t>Largeur du batiment (portee)</t>
  </si>
  <si>
    <t>Longueur du batiment</t>
  </si>
  <si>
    <t>Debord de toiture (chaque cote)</t>
  </si>
  <si>
    <t>Hauteur au faitage (par rapport a l'entrait)</t>
  </si>
  <si>
    <t>Ecartement entre fermes</t>
  </si>
  <si>
    <t>Section du bois (entrait / arbaletrier / panne)</t>
  </si>
  <si>
    <t>m x m</t>
  </si>
  <si>
    <t>Nombre de fermes</t>
  </si>
  <si>
    <t>Entrait (portee + 2 debords)</t>
  </si>
  <si>
    <t>Arbaletrier (par pente)</t>
  </si>
  <si>
    <t>Longueur developpee par ferme (entrait + 2 arbaletriers, +15%)</t>
  </si>
  <si>
    <t>Volume de bois des fermes</t>
  </si>
  <si>
    <t>Pannes</t>
  </si>
  <si>
    <t>Nombre de lignes / versant</t>
  </si>
  <si>
    <t>Pannes (2 versants)</t>
  </si>
  <si>
    <t>Volume total de bois de charpente</t>
  </si>
  <si>
    <t>Clous / boulons de charpente</t>
  </si>
  <si>
    <t>5.2 COUVERTURE EN TOLES</t>
  </si>
  <si>
    <t>Surface a couvrir = (long. + 2 debords) x (larg. + 2 debords)</t>
  </si>
  <si>
    <t>Largeur utile d'une tole (apres recouvrement)</t>
  </si>
  <si>
    <t>Longueur d'une tole</t>
  </si>
  <si>
    <t>Nombre de toles (2 pans, majore de 10%)</t>
  </si>
  <si>
    <t>Longueur d'une tole faitiere</t>
  </si>
  <si>
    <t>Nombre de toles faitieres</t>
  </si>
  <si>
    <t>Clous / pointes de couverture</t>
  </si>
  <si>
    <t>5.3 TOITURE-TERRASSE ACCESSIBLE (variante plate, immeuble a etage)</t>
  </si>
  <si>
    <t>Variante de toiture plate avec acrotere, utilisee a la place de la charpente+couverture en tole (bloc 5.1-5.2) pour un immeuble a etage. Laissez a 0 la surface non utilisee (charpente/couverture OU terrasse).</t>
  </si>
  <si>
    <t>Acrotere</t>
  </si>
  <si>
    <t>Chainage de couronnement sur acrotere</t>
  </si>
  <si>
    <t>Maconnerie de l'acrotere (agglos)</t>
  </si>
  <si>
    <t>hauteur (m)</t>
  </si>
  <si>
    <t>Enduits acrotere (interieur + exterieur)</t>
  </si>
  <si>
    <t>Forme de pente</t>
  </si>
  <si>
    <t>5.4 RESUME CHARPENTE, COUVERTURE ET TERRASSE</t>
  </si>
  <si>
    <t>Bois de charpente (volume)</t>
  </si>
  <si>
    <t>Surface de toiture</t>
  </si>
  <si>
    <t>Toles de couverture</t>
  </si>
  <si>
    <t>Toles faitieres</t>
  </si>
  <si>
    <t>Chainage d'acrotere (beton arme)</t>
  </si>
  <si>
    <t>Maconnerie acrotere</t>
  </si>
  <si>
    <t>Enduits acrotere</t>
  </si>
  <si>
    <t>Forme de pente sur terrasse</t>
  </si>
  <si>
    <t>Ciment acrotere (a ajouter au total ciment)</t>
  </si>
  <si>
    <t>Gravier acrotere</t>
  </si>
  <si>
    <t>Sable acrotere</t>
  </si>
  <si>
    <t>Eau acrotere</t>
  </si>
  <si>
    <t>SOUS DETAIL DES PRIX UNITAIRES</t>
  </si>
  <si>
    <t>Prix tout compris (materiaux + main d'oeuvre) de chaque ouvrage courant. Alimente Devis_Entreprise.</t>
  </si>
  <si>
    <t>Principe du guide : "1 m3 de beton arme dose a 350 kg/m3 vaut X FCFA, ceci comprend les materiaux, la main d'oeuvre et les divers". Les ratios en bleu ci-dessous sont des moyennes generales a ajuster selon votre projet.</t>
  </si>
  <si>
    <t>Prix moyen de l'acier pose (base HA10)</t>
  </si>
  <si>
    <t>FCFA/kg</t>
  </si>
  <si>
    <t>Prix moyen du bois de coffrage</t>
  </si>
  <si>
    <t>FCFA/m3</t>
  </si>
  <si>
    <t>BETON DE PROPRETE (non arme)</t>
  </si>
  <si>
    <t>Composante</t>
  </si>
  <si>
    <t>Quantite / m3</t>
  </si>
  <si>
    <t>Cout / m3</t>
  </si>
  <si>
    <t>kg/m3</t>
  </si>
  <si>
    <t>Prix materiaux / m3</t>
  </si>
  <si>
    <t>Main d'oeuvre</t>
  </si>
  <si>
    <t>PRIX TOUT COMPRIS / m3</t>
  </si>
  <si>
    <t>BETON DOSE A 250 kg/m3 (non arme : chape, sous pavement)</t>
  </si>
  <si>
    <t>BETON ARME DOSE A 350 kg/m3 (semelles, colonnes, ceinture, dalle)</t>
  </si>
  <si>
    <t>Acier (ratio moyen, a ajuster)</t>
  </si>
  <si>
    <t>Coffrage bois (ratio moyen, a ajuster)</t>
  </si>
  <si>
    <t>MACONNERIE EN MOELLON (par m3)</t>
  </si>
  <si>
    <t>Dosage du mortier de hourdage</t>
  </si>
  <si>
    <t>Moellon (70%)</t>
  </si>
  <si>
    <t>Ciment (mortier, 30%)</t>
  </si>
  <si>
    <t>Sable (mortier)</t>
  </si>
  <si>
    <t>MACONNERIE DE BLOCS (par m2)</t>
  </si>
  <si>
    <t>Quantite / m2</t>
  </si>
  <si>
    <t>Cout / m2</t>
  </si>
  <si>
    <t>Dimensions du bloc (L x H) et epaisseur du mur</t>
  </si>
  <si>
    <t>Surface du bloc avec joint (Sp)</t>
  </si>
  <si>
    <t>Blocs</t>
  </si>
  <si>
    <t>Ciment (mortier de pose)</t>
  </si>
  <si>
    <t>Sable (mortier de pose)</t>
  </si>
  <si>
    <t>Prix materiaux / m2</t>
  </si>
  <si>
    <t>PRIX TOUT COMPRIS / m2</t>
  </si>
  <si>
    <t>ENDUIT (par m2)</t>
  </si>
  <si>
    <t>PEINTURE LATEX (par m2)</t>
  </si>
  <si>
    <t>Latex</t>
  </si>
  <si>
    <t>Main d'oeuvre (application)</t>
  </si>
  <si>
    <t>CARRELAGE DE SOL (par m2)</t>
  </si>
  <si>
    <t>Epaisseur du mortier de pose</t>
  </si>
  <si>
    <t>Carreaux (cartons de 12)</t>
  </si>
  <si>
    <t>Main d'oeuvre (pose)</t>
  </si>
  <si>
    <t>FAIENCE MURALE (par m2)</t>
  </si>
  <si>
    <t>Faience (cartons de 10)</t>
  </si>
  <si>
    <t>CHARPENTE BOIS (par m3)</t>
  </si>
  <si>
    <t>Bois</t>
  </si>
  <si>
    <t>Clous / boulons</t>
  </si>
  <si>
    <t>Main d'oeuvre (taille et pose)</t>
  </si>
  <si>
    <t>COUVERTURE EN TOLES (par m2 de surface couverte)</t>
  </si>
  <si>
    <t>Toles (ratio observe : 0,876 tole/m2, guide p.64)</t>
  </si>
  <si>
    <t>TERRASSEMENT - DEBLAIS / REMBLAIS (par m3, forfait)</t>
  </si>
  <si>
    <t>Prix forfaitaire tout compris (main d'oeuvre et engins)</t>
  </si>
  <si>
    <t>BORDEREAU QUANTITATIF ET ESTIMATIF DES TRAVAUX D'UN BATIMENT</t>
  </si>
  <si>
    <t>Devis detaille par nature de materiaux, corps d'etat par corps d'etat (modele particulier)</t>
  </si>
  <si>
    <t>Structure reprise du modele fourni (bordereau par corps d'etat). Chaque quantite est liee aux feuilles de calcul ; chaque prix unitaire est liee a Prix_Unitaires / Sous_Detail_Prix.</t>
  </si>
  <si>
    <t>Qtte</t>
  </si>
  <si>
    <t>P.U (FCFA)</t>
  </si>
  <si>
    <t>P.T (FCFA)</t>
  </si>
  <si>
    <t>TERRASSEMENT ET INSTALLATION DE CHANTIER</t>
  </si>
  <si>
    <t>1</t>
  </si>
  <si>
    <t>Installation de chantier</t>
  </si>
  <si>
    <t>fft</t>
  </si>
  <si>
    <t>2</t>
  </si>
  <si>
    <t>3</t>
  </si>
  <si>
    <t>Fouilles en tranchee (longrines/fondation filante)</t>
  </si>
  <si>
    <t>4</t>
  </si>
  <si>
    <t>5</t>
  </si>
  <si>
    <t>Sous total Terrassement</t>
  </si>
  <si>
    <t>FONDATION</t>
  </si>
  <si>
    <t>6</t>
  </si>
  <si>
    <t>sac</t>
  </si>
  <si>
    <t>7</t>
  </si>
  <si>
    <t>8</t>
  </si>
  <si>
    <t>9</t>
  </si>
  <si>
    <t>10</t>
  </si>
  <si>
    <t>11</t>
  </si>
  <si>
    <t>12</t>
  </si>
  <si>
    <t>13</t>
  </si>
  <si>
    <t>14</t>
  </si>
  <si>
    <t>15</t>
  </si>
  <si>
    <t>Armature - maillage de semelle</t>
  </si>
  <si>
    <t>16</t>
  </si>
  <si>
    <t>Armature - colonne/amorce</t>
  </si>
  <si>
    <t>17</t>
  </si>
  <si>
    <t>Armature - cadre socle</t>
  </si>
  <si>
    <t>18</t>
  </si>
  <si>
    <t>Armature - longrine principale</t>
  </si>
  <si>
    <t>19</t>
  </si>
  <si>
    <t>Armature - longrine cadre</t>
  </si>
  <si>
    <t>20</t>
  </si>
  <si>
    <t>Fil a ligaturer</t>
  </si>
  <si>
    <t>Sous total Fondation</t>
  </si>
  <si>
    <t>ELEVATION (RDC + ETAGE)</t>
  </si>
  <si>
    <t>21</t>
  </si>
  <si>
    <t>Blocs / agglos creux</t>
  </si>
  <si>
    <t>22</t>
  </si>
  <si>
    <t>23</t>
  </si>
  <si>
    <t>24</t>
  </si>
  <si>
    <t>25</t>
  </si>
  <si>
    <t>26</t>
  </si>
  <si>
    <t>27</t>
  </si>
  <si>
    <t>28</t>
  </si>
  <si>
    <t>29</t>
  </si>
  <si>
    <t>Armature - Colonnes RDC - principale</t>
  </si>
  <si>
    <t>30</t>
  </si>
  <si>
    <t>Armature - Colonnes RDC - cadre</t>
  </si>
  <si>
    <t>31</t>
  </si>
  <si>
    <t>Armature - Colonnes Etage1 - principale</t>
  </si>
  <si>
    <t>32</t>
  </si>
  <si>
    <t>Armature - Colonnes Etage1 - cadre</t>
  </si>
  <si>
    <t>33</t>
  </si>
  <si>
    <t>Armature - Ceinture RDC - principale</t>
  </si>
  <si>
    <t>34</t>
  </si>
  <si>
    <t>Armature - Ceinture RDC - cadre</t>
  </si>
  <si>
    <t>35</t>
  </si>
  <si>
    <t>Armature - Ceinture Etage1 - principale</t>
  </si>
  <si>
    <t>36</t>
  </si>
  <si>
    <t>Armature - Ceinture Etage1 - cadre</t>
  </si>
  <si>
    <t>37</t>
  </si>
  <si>
    <t>Armature - Linteaux RDC</t>
  </si>
  <si>
    <t>38</t>
  </si>
  <si>
    <t>Armature - Linteaux Etage1</t>
  </si>
  <si>
    <t>39</t>
  </si>
  <si>
    <t>Armature - Escalier</t>
  </si>
  <si>
    <t>40</t>
  </si>
  <si>
    <t>Sous total Elevation</t>
  </si>
  <si>
    <t>PLANCHER (DALLE)</t>
  </si>
  <si>
    <t>41</t>
  </si>
  <si>
    <t>42</t>
  </si>
  <si>
    <t>43</t>
  </si>
  <si>
    <t>44</t>
  </si>
  <si>
    <t>45</t>
  </si>
  <si>
    <t>46</t>
  </si>
  <si>
    <t>47</t>
  </si>
  <si>
    <t>48</t>
  </si>
  <si>
    <t>Armature - Nappe suivant L</t>
  </si>
  <si>
    <t>49</t>
  </si>
  <si>
    <t>Armature - Nappe suivant l</t>
  </si>
  <si>
    <t>50</t>
  </si>
  <si>
    <t>51</t>
  </si>
  <si>
    <t>Plancher hourdis 12+4 (variante)</t>
  </si>
  <si>
    <t>Sous total Plancher</t>
  </si>
  <si>
    <t>FINITION</t>
  </si>
  <si>
    <t>52</t>
  </si>
  <si>
    <t>carton</t>
  </si>
  <si>
    <t>53</t>
  </si>
  <si>
    <t>54</t>
  </si>
  <si>
    <t>Ciment (enduit + mortier de pose)</t>
  </si>
  <si>
    <t>55</t>
  </si>
  <si>
    <t>56</t>
  </si>
  <si>
    <t>57</t>
  </si>
  <si>
    <t>58</t>
  </si>
  <si>
    <t>Sous total Finition</t>
  </si>
  <si>
    <t>CHARPENTE</t>
  </si>
  <si>
    <t>59</t>
  </si>
  <si>
    <t>Bois de charpente</t>
  </si>
  <si>
    <t>60</t>
  </si>
  <si>
    <t>61</t>
  </si>
  <si>
    <t>Sous total Charpente</t>
  </si>
  <si>
    <t>COUVERTURE</t>
  </si>
  <si>
    <t>62</t>
  </si>
  <si>
    <t>Toles (BG28)</t>
  </si>
  <si>
    <t>63</t>
  </si>
  <si>
    <t>64</t>
  </si>
  <si>
    <t>Sous total Couverture</t>
  </si>
  <si>
    <t>TOITURE-TERRASSE ACCESSIBLE (variante)</t>
  </si>
  <si>
    <t>65</t>
  </si>
  <si>
    <t>Ciment (chainage acrotere)</t>
  </si>
  <si>
    <t>66</t>
  </si>
  <si>
    <t>Gravier (chainage acrotere)</t>
  </si>
  <si>
    <t>67</t>
  </si>
  <si>
    <t>Sable (chainage acrotere)</t>
  </si>
  <si>
    <t>68</t>
  </si>
  <si>
    <t>Eau (chainage acrotere)</t>
  </si>
  <si>
    <t>69</t>
  </si>
  <si>
    <t>Maconnerie acrotere (tout compris)</t>
  </si>
  <si>
    <t>70</t>
  </si>
  <si>
    <t>Enduits acrotere (tout compris)</t>
  </si>
  <si>
    <t>71</t>
  </si>
  <si>
    <t>Sous total Toiture-terrasse</t>
  </si>
  <si>
    <t>TOTAL MATERIAUX (tous corps d'etat)</t>
  </si>
  <si>
    <t>TOTAL DES TRAVAUX</t>
  </si>
  <si>
    <t>Honoraires Ingenieur</t>
  </si>
  <si>
    <t>TOTAL GENERAL DU DEVIS</t>
  </si>
  <si>
    <t>Nous disons en toute lettre : le montant total ci-dessus, en francs CFA.</t>
  </si>
  <si>
    <t>DEVIS QUANTITATIF &amp; ESTIMATIF - VILLA R+1</t>
  </si>
  <si>
    <t>Gros oeuvre par section (prix tout compris) + second oeuvre forfaitaire + TVA - modele entreprise</t>
  </si>
  <si>
    <t>Structure reprise du modele fourni. Le gros oeuvre est chiffre section par section avec les prix tout compris de Prix_Unitaires / Sous_Detail_Prix, relies aux feuilles de calcul. Le second oeuvre (menuiserie, plomberie, electricite...) n'est pas modelise dans ce classeur : saisissez vos propres forfaits en bleu.</t>
  </si>
  <si>
    <t>Prix total</t>
  </si>
  <si>
    <t>TERRASSEMENTS ET PREPARATION DU CHANTIER</t>
  </si>
  <si>
    <t>Amenee et repli de materiel</t>
  </si>
  <si>
    <t>ens</t>
  </si>
  <si>
    <t>Fouilles en puits pour semelles isolees</t>
  </si>
  <si>
    <t>Fouilles en tranchee pour longrines</t>
  </si>
  <si>
    <t>Remblais (fondations + sous dallage)</t>
  </si>
  <si>
    <t>Sous-total Terrassements et preparation</t>
  </si>
  <si>
    <t>I - FONDATION</t>
  </si>
  <si>
    <t>Beton de proprete (dose a 150 kg/m3)</t>
  </si>
  <si>
    <t>Beton arme dose a 350 kg/m3 (semelles + amorces)</t>
  </si>
  <si>
    <t>Beton arme dose a 350 kg/m3 (longrine)</t>
  </si>
  <si>
    <t>Fondation en moellon</t>
  </si>
  <si>
    <t>Chape d'egalisation (dosee a 250 kg/m3)</t>
  </si>
  <si>
    <t>Beton de sous pavement (dose a 250 kg/m3)</t>
  </si>
  <si>
    <t>Sous-total Fondation</t>
  </si>
  <si>
    <t>II - RDC</t>
  </si>
  <si>
    <t>Beton arme dose a 350 kg/m3 (poteaux)</t>
  </si>
  <si>
    <t>Beton arme dose a 350 kg/m3 (ceinture)</t>
  </si>
  <si>
    <t>Beton arme dose a 350 kg/m3 (linteaux et appuis)</t>
  </si>
  <si>
    <t>Plancher dalle pleine (plancher haut RDC)</t>
  </si>
  <si>
    <t>Plancher hourdis 12+4 (plancher haut RDC)</t>
  </si>
  <si>
    <t>Maconnerie d'agglos creux de 15 cm</t>
  </si>
  <si>
    <t>Enduits (interieurs + exterieurs)</t>
  </si>
  <si>
    <t>Sous-total RDC</t>
  </si>
  <si>
    <t>III - ETAGE 1</t>
  </si>
  <si>
    <t>Beton arme dose a 350 kg/m3 (escalier)</t>
  </si>
  <si>
    <t>Plancher dalle pleine (plancher haut Etage 1)</t>
  </si>
  <si>
    <t>Plancher hourdis 12+4 (plancher haut Etage 1)</t>
  </si>
  <si>
    <t>Sous-total Etage 1</t>
  </si>
  <si>
    <t>Pour chaque plancher, une seule des deux lignes (dalle pleine ou hourdis) est normalement non nulle, selon ce qui a ete rempli dans la feuille Dalle.</t>
  </si>
  <si>
    <t>IV - TOITURE (charpente-couverture ou terrasse accessible)</t>
  </si>
  <si>
    <t>Charpente bois</t>
  </si>
  <si>
    <t>Couverture en toles</t>
  </si>
  <si>
    <t>Beton arme dose a 350 kg/m3 (chainage acrotere)</t>
  </si>
  <si>
    <t>Maconnerie d'agglos (acrotere)</t>
  </si>
  <si>
    <t>Sous-total Toiture</t>
  </si>
  <si>
    <t>Ne remplissez que les lignes correspondant a votre choix de toiture (charpente+toles OU terrasse accessible) ; laissez l'autre a 0 dans les feuilles de calcul.</t>
  </si>
  <si>
    <t>TOTAL GROS OEUVRE</t>
  </si>
  <si>
    <t>V - SECOND OEUVRE (forfaits a completer)</t>
  </si>
  <si>
    <t>Menuiseries RDC</t>
  </si>
  <si>
    <t>Plomberie sanitaire RDC</t>
  </si>
  <si>
    <t>Electricite RDC</t>
  </si>
  <si>
    <t>Revetement - carrelage RDC</t>
  </si>
  <si>
    <t>Peinture RDC</t>
  </si>
  <si>
    <t>Amenagement exterieur</t>
  </si>
  <si>
    <t>Menuiseries Etage 1</t>
  </si>
  <si>
    <t>Plomberie sanitaire Etage 1</t>
  </si>
  <si>
    <t>Electricite Etage 1</t>
  </si>
  <si>
    <t>Revetement - carrelage Etage 1</t>
  </si>
  <si>
    <t>Peinture Etage 1</t>
  </si>
  <si>
    <t>Etancheite terrasse</t>
  </si>
  <si>
    <t>Menuiserie terrasse</t>
  </si>
  <si>
    <t>Plomberie sanitaire terrasse</t>
  </si>
  <si>
    <t>Electricite terrasse</t>
  </si>
  <si>
    <t>Peinture terrasse</t>
  </si>
  <si>
    <t>Sous-total Second oeuvre</t>
  </si>
  <si>
    <t>Renseignez en bleu le montant forfaitaire de chaque lot de second oeuvre (menuiserie, plomberie, electricite...), sur devis de vos sous-traitants ou fournisseurs : ce classeur ne les calcule pas a partir d'un metre.</t>
  </si>
  <si>
    <t>MONTANT TOTAL PROJET HT</t>
  </si>
  <si>
    <t>TVA</t>
  </si>
  <si>
    <t>MONTANT TOTAL PROJET TTC</t>
  </si>
  <si>
    <t>NET A PAYER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</si>
</sst>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
    <numFmt numFmtId="166" formatCode="0.0%"/>
    <numFmt numFmtId="167" formatCode="#,##0&quot; F&quot;"/>
  </numFmts>
  <fonts count="11" x14ac:knownFonts="1">
    <font>
      <sz val="11"/>
      <color theme="1"/>
      <name val="Calibri"/>
      <family val="2"/>
      <charset val="1"/>
    </font>
    <font>
      <b/>
      <sz val="14"/>
      <color rgb="FFFFFFFF"/>
      <name val="Calibri"/>
      <charset val="1"/>
    </font>
    <font>
      <i/>
      <sz val="10"/>
      <color rgb="FFFFFFFF"/>
      <name val="Calibri"/>
      <charset val="1"/>
    </font>
    <font>
      <b/>
      <sz val="11"/>
      <color rgb="FFFFFFFF"/>
      <name val="Calibri"/>
      <charset val="1"/>
    </font>
    <font>
      <sz val="9"/>
      <color rgb="FF000000"/>
      <name val="Calibri"/>
      <charset val="1"/>
    </font>
    <font>
      <b/>
      <sz val="9"/>
      <color rgb="FFFFFFFF"/>
      <name val="Calibri"/>
      <charset val="1"/>
    </font>
    <font>
      <b/>
      <sz val="9"/>
      <color rgb="FF000000"/>
      <name val="Calibri"/>
      <charset val="1"/>
    </font>
    <font>
      <sz val="9"/>
      <color rgb="FF1F4E96"/>
      <name val="Calibri"/>
      <charset val="1"/>
    </font>
    <font>
      <sz val="9"/>
      <color rgb="FF375623"/>
      <name val="Calibri"/>
      <charset val="1"/>
    </font>
    <font>
      <i/>
      <sz val="8"/>
      <color rgb="FF595959"/>
      <name val="Calibri"/>
      <charset val="1"/>
    </font>
    <font>
      <b/>
      <sz val="10"/>
      <color rgb="FF000000"/>
      <name val="Calibri"/>
      <charset val="1"/>
    </font>
  </fonts>
  <fills count="6">
    <fill>
      <patternFill patternType="none"/>
    </fill>
    <fill>
      <patternFill patternType="gray125"/>
    </fill>
    <fill>
      <patternFill patternType="solid">
        <fgColor rgb="FF1F3864"/>
        <bgColor rgb="FF1F4E96"/>
      </patternFill>
    </fill>
    <fill>
      <patternFill patternType="solid">
        <fgColor rgb="FF2E5395"/>
        <bgColor rgb="FF1F4E96"/>
      </patternFill>
    </fill>
    <fill>
      <patternFill patternType="solid">
        <fgColor rgb="FFFFF2CC"/>
        <bgColor rgb="FFEDEDED"/>
      </patternFill>
    </fill>
    <fill>
      <patternFill patternType="solid">
        <fgColor rgb="FFEDEDED"/>
        <bgColor rgb="FFFFF2CC"/>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style="thin">
        <color auto="1"/>
      </top>
      <bottom/>
      <diagonal/>
    </border>
  </borders>
  <cellStyleXfs count="1">
    <xf numFmtId="0" fontId="0" fillId="0" borderId="0"/>
  </cellStyleXfs>
  <cellXfs count="55">
    <xf numFmtId="0" fontId="0" fillId="0" borderId="0" xfId="0"/>
    <xf numFmtId="0" fontId="0" fillId="0" borderId="0" xfId="0"/>
    <xf numFmtId="0" fontId="6" fillId="5" borderId="2" xfId="0" applyFont="1" applyFill="1" applyBorder="1" applyAlignment="1">
      <alignment horizontal="left" vertical="center" wrapText="1"/>
    </xf>
    <xf numFmtId="0" fontId="9" fillId="0" borderId="0" xfId="0" applyFont="1" applyAlignment="1">
      <alignment horizontal="left" vertical="center" wrapText="1"/>
    </xf>
    <xf numFmtId="0" fontId="4" fillId="0" borderId="0" xfId="0" applyFont="1" applyAlignment="1">
      <alignment horizontal="left" vertical="center"/>
    </xf>
    <xf numFmtId="0" fontId="3" fillId="3" borderId="0" xfId="0" applyFont="1" applyFill="1" applyAlignment="1">
      <alignment horizontal="left" vertical="center" wrapText="1"/>
    </xf>
    <xf numFmtId="0" fontId="2" fillId="2" borderId="0" xfId="0" applyFont="1" applyFill="1" applyAlignment="1">
      <alignment horizontal="left" vertical="center" wrapText="1"/>
    </xf>
    <xf numFmtId="0" fontId="1" fillId="2" borderId="0" xfId="0" applyFont="1" applyFill="1" applyAlignment="1">
      <alignment horizontal="left" vertical="center" wrapText="1"/>
    </xf>
    <xf numFmtId="0" fontId="5" fillId="3" borderId="1" xfId="0" applyFont="1" applyFill="1" applyBorder="1" applyAlignment="1">
      <alignment horizontal="center" vertical="center" wrapText="1"/>
    </xf>
    <xf numFmtId="0" fontId="6" fillId="0" borderId="1" xfId="0" applyFont="1" applyBorder="1"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7" fillId="0" borderId="1" xfId="0" applyFont="1" applyBorder="1" applyAlignment="1">
      <alignment horizontal="left" vertical="center" wrapText="1"/>
    </xf>
    <xf numFmtId="0" fontId="8" fillId="0" borderId="1" xfId="0" applyFont="1" applyBorder="1" applyAlignment="1">
      <alignment horizontal="left" vertical="center" wrapText="1"/>
    </xf>
    <xf numFmtId="0" fontId="6" fillId="4" borderId="1" xfId="0" applyFont="1" applyFill="1" applyBorder="1" applyAlignment="1">
      <alignment horizontal="left" vertical="center" wrapText="1"/>
    </xf>
    <xf numFmtId="0" fontId="4" fillId="0" borderId="0" xfId="0" applyFont="1" applyAlignment="1">
      <alignment horizontal="left" vertical="center" wrapText="1"/>
    </xf>
    <xf numFmtId="3" fontId="7" fillId="4" borderId="1" xfId="0" applyNumberFormat="1" applyFont="1" applyFill="1" applyBorder="1" applyAlignment="1">
      <alignment horizontal="center" vertical="center" wrapText="1"/>
    </xf>
    <xf numFmtId="0" fontId="9" fillId="0" borderId="0" xfId="0" applyFont="1" applyAlignment="1">
      <alignment horizontal="left" vertical="center"/>
    </xf>
    <xf numFmtId="164" fontId="7" fillId="4" borderId="1" xfId="0" applyNumberFormat="1" applyFont="1" applyFill="1" applyBorder="1" applyAlignment="1">
      <alignment horizontal="center" vertical="center" wrapText="1"/>
    </xf>
    <xf numFmtId="4" fontId="7" fillId="4" borderId="1" xfId="0" applyNumberFormat="1" applyFont="1" applyFill="1" applyBorder="1" applyAlignment="1">
      <alignment horizontal="center" vertical="center" wrapText="1"/>
    </xf>
    <xf numFmtId="3" fontId="4" fillId="0" borderId="1" xfId="0" applyNumberFormat="1" applyFont="1" applyBorder="1" applyAlignment="1">
      <alignment horizontal="center" vertical="center" wrapText="1"/>
    </xf>
    <xf numFmtId="4" fontId="4" fillId="0" borderId="1" xfId="0" applyNumberFormat="1" applyFont="1" applyBorder="1" applyAlignment="1">
      <alignment horizontal="center" vertical="center" wrapText="1"/>
    </xf>
    <xf numFmtId="0" fontId="9" fillId="0" borderId="1" xfId="0" applyFont="1" applyBorder="1" applyAlignment="1">
      <alignment horizontal="left" vertical="center" wrapText="1"/>
    </xf>
    <xf numFmtId="3" fontId="6" fillId="0" borderId="1" xfId="0" applyNumberFormat="1" applyFont="1" applyBorder="1" applyAlignment="1">
      <alignment horizontal="center" vertical="center" wrapText="1"/>
    </xf>
    <xf numFmtId="164" fontId="4" fillId="0" borderId="1" xfId="0" applyNumberFormat="1" applyFont="1" applyBorder="1" applyAlignment="1">
      <alignment horizontal="center" vertical="center" wrapText="1"/>
    </xf>
    <xf numFmtId="165" fontId="7" fillId="4" borderId="1" xfId="0" applyNumberFormat="1" applyFont="1" applyFill="1" applyBorder="1" applyAlignment="1">
      <alignment horizontal="center" vertical="center" wrapText="1"/>
    </xf>
    <xf numFmtId="166" fontId="7" fillId="4" borderId="1" xfId="0" applyNumberFormat="1" applyFont="1" applyFill="1" applyBorder="1" applyAlignment="1">
      <alignment horizontal="center" vertical="center" wrapText="1"/>
    </xf>
    <xf numFmtId="0" fontId="6" fillId="0" borderId="1" xfId="0" applyFont="1" applyBorder="1" applyAlignment="1">
      <alignment horizontal="center" vertical="center" wrapText="1"/>
    </xf>
    <xf numFmtId="49" fontId="7" fillId="4" borderId="1" xfId="0" applyNumberFormat="1" applyFont="1" applyFill="1" applyBorder="1" applyAlignment="1">
      <alignment horizontal="center" vertical="center" wrapText="1"/>
    </xf>
    <xf numFmtId="0" fontId="9" fillId="0" borderId="1" xfId="0" applyFont="1" applyBorder="1" applyAlignment="1">
      <alignment horizontal="center" vertical="center" wrapText="1"/>
    </xf>
    <xf numFmtId="167" fontId="7" fillId="4" borderId="1" xfId="0" applyNumberFormat="1" applyFont="1" applyFill="1" applyBorder="1" applyAlignment="1">
      <alignment horizontal="center" vertical="center" wrapText="1"/>
    </xf>
    <xf numFmtId="0" fontId="7" fillId="0" borderId="1" xfId="0" applyFont="1" applyBorder="1" applyAlignment="1">
      <alignment horizontal="center" vertical="center" wrapText="1"/>
    </xf>
    <xf numFmtId="3" fontId="7" fillId="0" borderId="1" xfId="0" applyNumberFormat="1" applyFont="1" applyBorder="1" applyAlignment="1">
      <alignment horizontal="center" vertical="center" wrapText="1"/>
    </xf>
    <xf numFmtId="4" fontId="7" fillId="0" borderId="1" xfId="0" applyNumberFormat="1" applyFont="1" applyBorder="1" applyAlignment="1">
      <alignment horizontal="center" vertical="center" wrapText="1"/>
    </xf>
    <xf numFmtId="0" fontId="0" fillId="5" borderId="2" xfId="0" applyFill="1" applyBorder="1"/>
    <xf numFmtId="164" fontId="6" fillId="5" borderId="1" xfId="0" applyNumberFormat="1" applyFont="1" applyFill="1" applyBorder="1" applyAlignment="1">
      <alignment horizontal="center" vertical="center" wrapText="1"/>
    </xf>
    <xf numFmtId="0" fontId="4" fillId="0" borderId="1" xfId="0" applyFont="1" applyBorder="1"/>
    <xf numFmtId="0" fontId="6" fillId="0" borderId="0" xfId="0" applyFont="1" applyAlignment="1">
      <alignment horizontal="left" vertical="center" wrapText="1"/>
    </xf>
    <xf numFmtId="164" fontId="7" fillId="0" borderId="1" xfId="0" applyNumberFormat="1" applyFont="1" applyBorder="1" applyAlignment="1">
      <alignment horizontal="center" vertical="center" wrapText="1"/>
    </xf>
    <xf numFmtId="4" fontId="8" fillId="0" borderId="1" xfId="0" applyNumberFormat="1" applyFont="1" applyBorder="1" applyAlignment="1">
      <alignment horizontal="center" vertical="center" wrapText="1"/>
    </xf>
    <xf numFmtId="0" fontId="9" fillId="0" borderId="0" xfId="0" applyFont="1"/>
    <xf numFmtId="3" fontId="8" fillId="0" borderId="1" xfId="0" applyNumberFormat="1" applyFont="1" applyBorder="1" applyAlignment="1">
      <alignment horizontal="center" vertical="center" wrapText="1"/>
    </xf>
    <xf numFmtId="164" fontId="6" fillId="0" borderId="1" xfId="0" applyNumberFormat="1" applyFont="1" applyBorder="1" applyAlignment="1">
      <alignment horizontal="center" vertical="center" wrapText="1"/>
    </xf>
    <xf numFmtId="4" fontId="6" fillId="0" borderId="1" xfId="0" applyNumberFormat="1" applyFont="1" applyBorder="1" applyAlignment="1">
      <alignment horizontal="center" vertical="center" wrapText="1"/>
    </xf>
    <xf numFmtId="4" fontId="6" fillId="5" borderId="1" xfId="0" applyNumberFormat="1" applyFont="1" applyFill="1" applyBorder="1" applyAlignment="1">
      <alignment horizontal="center" vertical="center" wrapText="1"/>
    </xf>
    <xf numFmtId="0" fontId="9" fillId="0" borderId="1" xfId="0" applyFont="1" applyBorder="1"/>
    <xf numFmtId="167" fontId="4" fillId="0" borderId="1" xfId="0" applyNumberFormat="1" applyFont="1" applyBorder="1" applyAlignment="1">
      <alignment horizontal="center" vertical="center" wrapText="1"/>
    </xf>
    <xf numFmtId="167" fontId="6" fillId="5" borderId="1" xfId="0" applyNumberFormat="1" applyFont="1" applyFill="1" applyBorder="1" applyAlignment="1">
      <alignment horizontal="center" vertical="center" wrapText="1"/>
    </xf>
    <xf numFmtId="166" fontId="4" fillId="0" borderId="1" xfId="0" applyNumberFormat="1" applyFont="1" applyBorder="1" applyAlignment="1">
      <alignment horizontal="center" vertical="center" wrapText="1"/>
    </xf>
    <xf numFmtId="167" fontId="8" fillId="0" borderId="1" xfId="0" applyNumberFormat="1" applyFont="1" applyBorder="1" applyAlignment="1">
      <alignment horizontal="center" vertical="center" wrapText="1"/>
    </xf>
    <xf numFmtId="0" fontId="0" fillId="3" borderId="0" xfId="0" applyFill="1"/>
    <xf numFmtId="0" fontId="4" fillId="0" borderId="0" xfId="0" applyFont="1" applyAlignment="1">
      <alignment horizontal="center" vertical="center" wrapText="1"/>
    </xf>
    <xf numFmtId="167" fontId="6" fillId="0" borderId="1" xfId="0" applyNumberFormat="1" applyFont="1" applyBorder="1" applyAlignment="1">
      <alignment horizontal="center" vertical="center" wrapText="1"/>
    </xf>
    <xf numFmtId="167" fontId="10" fillId="5" borderId="1" xfId="0" applyNumberFormat="1" applyFont="1" applyFill="1" applyBorder="1" applyAlignment="1">
      <alignment horizontal="center" vertical="center" wrapText="1"/>
    </xf>
    <xf numFmtId="164" fontId="8"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993366"/>
      <rgbColor rgb="FFFFF2CC"/>
      <rgbColor rgb="FFEDEDED"/>
      <rgbColor rgb="FF660066"/>
      <rgbColor rgb="FFFF8080"/>
      <rgbColor rgb="FF2E5395"/>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BF8F00"/>
      <rgbColor rgb="FFFF6600"/>
      <rgbColor rgb="FF595959"/>
      <rgbColor rgb="FF969696"/>
      <rgbColor rgb="FF1F3864"/>
      <rgbColor rgb="FF339966"/>
      <rgbColor rgb="FF003300"/>
      <rgbColor rgb="FF333300"/>
      <rgbColor rgb="FF993300"/>
      <rgbColor rgb="FF993366"/>
      <rgbColor rgb="FF1F4E96"/>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2:D54"/>
  <sheetViews>
    <sheetView showGridLines="0" zoomScaleNormal="100" workbookViewId="0">
      <pane ySplit="3" topLeftCell="A27" activePane="bottomLeft" state="frozen"/>
      <selection pane="bottomLeft"/>
    </sheetView>
  </sheetViews>
  <sheetFormatPr baseColWidth="10" defaultColWidth="8.7109375" defaultRowHeight="15" x14ac:dyDescent="0.25"/>
  <cols>
    <col min="1" max="1" width="3" customWidth="1"/>
    <col min="2" max="2" width="40" customWidth="1"/>
    <col min="3" max="3" width="14" customWidth="1"/>
    <col min="4" max="4" width="60" customWidth="1"/>
  </cols>
  <sheetData>
    <row r="2" spans="1:4" ht="30" customHeight="1" x14ac:dyDescent="0.25">
      <c r="A2" s="7" t="s">
        <v>0</v>
      </c>
      <c r="B2" s="7"/>
      <c r="C2" s="7"/>
      <c r="D2" s="7"/>
    </row>
    <row r="3" spans="1:4" ht="15" customHeight="1" x14ac:dyDescent="0.25">
      <c r="A3" s="6" t="s">
        <v>1</v>
      </c>
      <c r="B3" s="6"/>
      <c r="C3" s="6"/>
      <c r="D3" s="6"/>
    </row>
    <row r="5" spans="1:4" ht="15" customHeight="1" x14ac:dyDescent="0.25">
      <c r="A5" s="5" t="s">
        <v>2</v>
      </c>
      <c r="B5" s="5"/>
      <c r="C5" s="5"/>
      <c r="D5" s="5"/>
    </row>
    <row r="7" spans="1:4" x14ac:dyDescent="0.25">
      <c r="B7" s="4" t="s">
        <v>3</v>
      </c>
      <c r="C7" s="4"/>
      <c r="D7" s="4"/>
    </row>
    <row r="8" spans="1:4" x14ac:dyDescent="0.25">
      <c r="B8" s="4" t="s">
        <v>4</v>
      </c>
      <c r="C8" s="4"/>
      <c r="D8" s="4"/>
    </row>
    <row r="9" spans="1:4" x14ac:dyDescent="0.25">
      <c r="B9" s="4" t="s">
        <v>5</v>
      </c>
      <c r="C9" s="4"/>
      <c r="D9" s="4"/>
    </row>
    <row r="10" spans="1:4" x14ac:dyDescent="0.25">
      <c r="B10" s="4"/>
      <c r="C10" s="4"/>
      <c r="D10" s="4"/>
    </row>
    <row r="11" spans="1:4" x14ac:dyDescent="0.25">
      <c r="B11" s="4" t="s">
        <v>6</v>
      </c>
      <c r="C11" s="4"/>
      <c r="D11" s="4"/>
    </row>
    <row r="12" spans="1:4" x14ac:dyDescent="0.25">
      <c r="B12" s="4" t="s">
        <v>7</v>
      </c>
      <c r="C12" s="4"/>
      <c r="D12" s="4"/>
    </row>
    <row r="13" spans="1:4" x14ac:dyDescent="0.25">
      <c r="B13" s="4" t="s">
        <v>8</v>
      </c>
      <c r="C13" s="4"/>
      <c r="D13" s="4"/>
    </row>
    <row r="14" spans="1:4" x14ac:dyDescent="0.25">
      <c r="B14" s="4" t="s">
        <v>9</v>
      </c>
      <c r="C14" s="4"/>
      <c r="D14" s="4"/>
    </row>
    <row r="15" spans="1:4" x14ac:dyDescent="0.25">
      <c r="B15" s="4" t="s">
        <v>10</v>
      </c>
      <c r="C15" s="4"/>
      <c r="D15" s="4"/>
    </row>
    <row r="16" spans="1:4" x14ac:dyDescent="0.25">
      <c r="B16" s="4" t="s">
        <v>11</v>
      </c>
      <c r="C16" s="4"/>
      <c r="D16" s="4"/>
    </row>
    <row r="17" spans="1:4" x14ac:dyDescent="0.25">
      <c r="B17" s="4"/>
      <c r="C17" s="4"/>
      <c r="D17" s="4"/>
    </row>
    <row r="18" spans="1:4" x14ac:dyDescent="0.25">
      <c r="B18" s="4" t="s">
        <v>12</v>
      </c>
      <c r="C18" s="4"/>
      <c r="D18" s="4"/>
    </row>
    <row r="19" spans="1:4" x14ac:dyDescent="0.25">
      <c r="B19" s="4" t="s">
        <v>13</v>
      </c>
      <c r="C19" s="4"/>
      <c r="D19" s="4"/>
    </row>
    <row r="20" spans="1:4" x14ac:dyDescent="0.25">
      <c r="B20" s="4" t="s">
        <v>14</v>
      </c>
      <c r="C20" s="4"/>
      <c r="D20" s="4"/>
    </row>
    <row r="21" spans="1:4" x14ac:dyDescent="0.25">
      <c r="B21" s="4" t="s">
        <v>15</v>
      </c>
      <c r="C21" s="4"/>
      <c r="D21" s="4"/>
    </row>
    <row r="22" spans="1:4" x14ac:dyDescent="0.25">
      <c r="B22" s="4" t="s">
        <v>16</v>
      </c>
      <c r="C22" s="4"/>
      <c r="D22" s="4"/>
    </row>
    <row r="24" spans="1:4" ht="15" customHeight="1" x14ac:dyDescent="0.25">
      <c r="A24" s="5" t="s">
        <v>17</v>
      </c>
      <c r="B24" s="5"/>
      <c r="C24" s="5"/>
      <c r="D24" s="5"/>
    </row>
    <row r="26" spans="1:4" x14ac:dyDescent="0.25">
      <c r="B26" s="8" t="s">
        <v>18</v>
      </c>
      <c r="C26" s="8"/>
      <c r="D26" s="8" t="s">
        <v>19</v>
      </c>
    </row>
    <row r="27" spans="1:4" ht="25.5" customHeight="1" x14ac:dyDescent="0.25">
      <c r="B27" s="9" t="s">
        <v>20</v>
      </c>
      <c r="C27" s="10" t="s">
        <v>21</v>
      </c>
      <c r="D27" s="11" t="s">
        <v>22</v>
      </c>
    </row>
    <row r="28" spans="1:4" ht="25.5" customHeight="1" x14ac:dyDescent="0.25">
      <c r="B28" s="9" t="s">
        <v>23</v>
      </c>
      <c r="C28" s="10" t="s">
        <v>24</v>
      </c>
      <c r="D28" s="11" t="s">
        <v>25</v>
      </c>
    </row>
    <row r="29" spans="1:4" ht="25.5" customHeight="1" x14ac:dyDescent="0.25">
      <c r="B29" s="9" t="s">
        <v>26</v>
      </c>
      <c r="C29" s="10" t="s">
        <v>27</v>
      </c>
      <c r="D29" s="11" t="s">
        <v>28</v>
      </c>
    </row>
    <row r="30" spans="1:4" ht="25.5" customHeight="1" x14ac:dyDescent="0.25">
      <c r="B30" s="9" t="s">
        <v>29</v>
      </c>
      <c r="C30" s="10" t="s">
        <v>27</v>
      </c>
      <c r="D30" s="11" t="s">
        <v>30</v>
      </c>
    </row>
    <row r="31" spans="1:4" ht="25.5" customHeight="1" x14ac:dyDescent="0.25">
      <c r="B31" s="9" t="s">
        <v>31</v>
      </c>
      <c r="C31" s="10" t="s">
        <v>27</v>
      </c>
      <c r="D31" s="11" t="s">
        <v>32</v>
      </c>
    </row>
    <row r="32" spans="1:4" ht="25.5" customHeight="1" x14ac:dyDescent="0.25">
      <c r="B32" s="9" t="s">
        <v>33</v>
      </c>
      <c r="C32" s="10" t="s">
        <v>27</v>
      </c>
      <c r="D32" s="11" t="s">
        <v>34</v>
      </c>
    </row>
    <row r="33" spans="1:4" ht="25.5" customHeight="1" x14ac:dyDescent="0.25">
      <c r="B33" s="9" t="s">
        <v>35</v>
      </c>
      <c r="C33" s="10" t="s">
        <v>27</v>
      </c>
      <c r="D33" s="11" t="s">
        <v>36</v>
      </c>
    </row>
    <row r="34" spans="1:4" ht="25.5" customHeight="1" x14ac:dyDescent="0.25">
      <c r="B34" s="9" t="s">
        <v>37</v>
      </c>
      <c r="C34" s="10" t="s">
        <v>27</v>
      </c>
      <c r="D34" s="11" t="s">
        <v>38</v>
      </c>
    </row>
    <row r="35" spans="1:4" ht="25.5" customHeight="1" x14ac:dyDescent="0.25">
      <c r="B35" s="9" t="s">
        <v>39</v>
      </c>
      <c r="C35" s="10" t="s">
        <v>40</v>
      </c>
      <c r="D35" s="11" t="s">
        <v>41</v>
      </c>
    </row>
    <row r="36" spans="1:4" ht="25.5" customHeight="1" x14ac:dyDescent="0.25">
      <c r="B36" s="9" t="s">
        <v>42</v>
      </c>
      <c r="C36" s="10" t="s">
        <v>40</v>
      </c>
      <c r="D36" s="11" t="s">
        <v>43</v>
      </c>
    </row>
    <row r="38" spans="1:4" ht="15" customHeight="1" x14ac:dyDescent="0.25">
      <c r="A38" s="5" t="s">
        <v>44</v>
      </c>
      <c r="B38" s="5"/>
      <c r="C38" s="5"/>
      <c r="D38" s="5"/>
    </row>
    <row r="40" spans="1:4" ht="24" x14ac:dyDescent="0.25">
      <c r="B40" s="12" t="s">
        <v>45</v>
      </c>
      <c r="D40" s="11" t="s">
        <v>46</v>
      </c>
    </row>
    <row r="41" spans="1:4" ht="24" x14ac:dyDescent="0.25">
      <c r="B41" s="11" t="s">
        <v>47</v>
      </c>
      <c r="D41" s="11" t="s">
        <v>48</v>
      </c>
    </row>
    <row r="42" spans="1:4" x14ac:dyDescent="0.25">
      <c r="B42" s="13" t="s">
        <v>49</v>
      </c>
      <c r="D42" s="11" t="s">
        <v>50</v>
      </c>
    </row>
    <row r="43" spans="1:4" ht="24" x14ac:dyDescent="0.25">
      <c r="B43" s="14" t="s">
        <v>51</v>
      </c>
      <c r="D43" s="11" t="s">
        <v>52</v>
      </c>
    </row>
    <row r="45" spans="1:4" ht="15" customHeight="1" x14ac:dyDescent="0.25">
      <c r="A45" s="5" t="s">
        <v>53</v>
      </c>
      <c r="B45" s="5"/>
      <c r="C45" s="5"/>
      <c r="D45" s="5"/>
    </row>
    <row r="47" spans="1:4" x14ac:dyDescent="0.25">
      <c r="B47" s="4" t="s">
        <v>54</v>
      </c>
      <c r="C47" s="4"/>
      <c r="D47" s="4"/>
    </row>
    <row r="48" spans="1:4" x14ac:dyDescent="0.25">
      <c r="B48" s="4" t="s">
        <v>55</v>
      </c>
      <c r="C48" s="4"/>
      <c r="D48" s="4"/>
    </row>
    <row r="49" spans="1:4" x14ac:dyDescent="0.25">
      <c r="B49" s="4" t="s">
        <v>56</v>
      </c>
      <c r="C49" s="4"/>
      <c r="D49" s="4"/>
    </row>
    <row r="50" spans="1:4" x14ac:dyDescent="0.25">
      <c r="B50" s="4" t="s">
        <v>57</v>
      </c>
      <c r="C50" s="4"/>
      <c r="D50" s="4"/>
    </row>
    <row r="51" spans="1:4" x14ac:dyDescent="0.25">
      <c r="B51" s="4" t="s">
        <v>58</v>
      </c>
      <c r="C51" s="4"/>
      <c r="D51" s="4"/>
    </row>
    <row r="53" spans="1:4" ht="15" customHeight="1" x14ac:dyDescent="0.25">
      <c r="A53" s="3" t="s">
        <v>59</v>
      </c>
      <c r="B53" s="3"/>
      <c r="C53" s="3"/>
      <c r="D53" s="3"/>
    </row>
    <row r="54" spans="1:4" ht="15" customHeight="1" x14ac:dyDescent="0.25">
      <c r="A54" s="3" t="s">
        <v>60</v>
      </c>
      <c r="B54" s="3"/>
      <c r="C54" s="3"/>
      <c r="D54" s="3"/>
    </row>
  </sheetData>
  <mergeCells count="29">
    <mergeCell ref="B50:D50"/>
    <mergeCell ref="B51:D51"/>
    <mergeCell ref="A53:D53"/>
    <mergeCell ref="A54:D54"/>
    <mergeCell ref="A38:D38"/>
    <mergeCell ref="A45:D45"/>
    <mergeCell ref="B47:D47"/>
    <mergeCell ref="B48:D48"/>
    <mergeCell ref="B49:D49"/>
    <mergeCell ref="B19:D19"/>
    <mergeCell ref="B20:D20"/>
    <mergeCell ref="B21:D21"/>
    <mergeCell ref="B22:D22"/>
    <mergeCell ref="A24:D24"/>
    <mergeCell ref="B14:D14"/>
    <mergeCell ref="B15:D15"/>
    <mergeCell ref="B16:D16"/>
    <mergeCell ref="B17:D17"/>
    <mergeCell ref="B18:D18"/>
    <mergeCell ref="B9:D9"/>
    <mergeCell ref="B10:D10"/>
    <mergeCell ref="B11:D11"/>
    <mergeCell ref="B12:D12"/>
    <mergeCell ref="B13:D13"/>
    <mergeCell ref="A2:D2"/>
    <mergeCell ref="A3:D3"/>
    <mergeCell ref="A5:D5"/>
    <mergeCell ref="B7:D7"/>
    <mergeCell ref="B8:D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5395"/>
  </sheetPr>
  <dimension ref="A2:J108"/>
  <sheetViews>
    <sheetView showGridLines="0" zoomScaleNormal="100" workbookViewId="0">
      <pane xSplit="1" ySplit="6" topLeftCell="B23" activePane="bottomRight" state="frozen"/>
      <selection pane="topRight" activeCell="B1" sqref="B1"/>
      <selection pane="bottomLeft" activeCell="A7" sqref="A7"/>
      <selection pane="bottomRight"/>
    </sheetView>
  </sheetViews>
  <sheetFormatPr baseColWidth="10" defaultColWidth="8.7109375" defaultRowHeight="15" x14ac:dyDescent="0.25"/>
  <cols>
    <col min="1" max="1" width="2" customWidth="1"/>
    <col min="2" max="2" width="34" customWidth="1"/>
    <col min="3" max="9" width="13" customWidth="1"/>
    <col min="10" max="10" width="30" customWidth="1"/>
  </cols>
  <sheetData>
    <row r="2" spans="1:10" ht="30" customHeight="1" x14ac:dyDescent="0.25">
      <c r="A2" s="7" t="s">
        <v>61</v>
      </c>
      <c r="B2" s="7"/>
      <c r="C2" s="7"/>
      <c r="D2" s="7"/>
      <c r="E2" s="7"/>
      <c r="F2" s="7"/>
      <c r="G2" s="7"/>
      <c r="H2" s="7"/>
      <c r="I2" s="7"/>
      <c r="J2" s="7"/>
    </row>
    <row r="3" spans="1:10" ht="15" customHeight="1" x14ac:dyDescent="0.25">
      <c r="A3" s="6" t="s">
        <v>62</v>
      </c>
      <c r="B3" s="6"/>
      <c r="C3" s="6"/>
      <c r="D3" s="6"/>
      <c r="E3" s="6"/>
      <c r="F3" s="6"/>
      <c r="G3" s="6"/>
      <c r="H3" s="6"/>
      <c r="I3" s="6"/>
      <c r="J3" s="6"/>
    </row>
    <row r="5" spans="1:10" ht="15" customHeight="1" x14ac:dyDescent="0.25">
      <c r="A5" s="3" t="s">
        <v>63</v>
      </c>
      <c r="B5" s="3"/>
      <c r="C5" s="3"/>
      <c r="D5" s="3"/>
      <c r="E5" s="3"/>
      <c r="F5" s="3"/>
      <c r="G5" s="3"/>
      <c r="H5" s="3"/>
      <c r="I5" s="3"/>
      <c r="J5" s="3"/>
    </row>
    <row r="7" spans="1:10" ht="15" customHeight="1" x14ac:dyDescent="0.25">
      <c r="A7" s="5" t="s">
        <v>64</v>
      </c>
      <c r="B7" s="5"/>
      <c r="C7" s="5"/>
      <c r="D7" s="5"/>
      <c r="E7" s="5"/>
      <c r="F7" s="5"/>
      <c r="G7" s="5"/>
      <c r="H7" s="5"/>
      <c r="I7" s="5"/>
      <c r="J7" s="5"/>
    </row>
    <row r="9" spans="1:10" x14ac:dyDescent="0.25">
      <c r="B9" s="8" t="s">
        <v>65</v>
      </c>
      <c r="C9" s="8" t="s">
        <v>66</v>
      </c>
      <c r="D9" s="8" t="s">
        <v>67</v>
      </c>
    </row>
    <row r="10" spans="1:10" x14ac:dyDescent="0.25">
      <c r="B10" s="15" t="s">
        <v>68</v>
      </c>
      <c r="C10" s="16">
        <v>50</v>
      </c>
      <c r="D10" s="17" t="s">
        <v>69</v>
      </c>
    </row>
    <row r="11" spans="1:10" ht="24" x14ac:dyDescent="0.25">
      <c r="B11" s="15" t="s">
        <v>70</v>
      </c>
      <c r="C11" s="18">
        <v>0.8</v>
      </c>
      <c r="D11" s="17" t="s">
        <v>71</v>
      </c>
    </row>
    <row r="12" spans="1:10" x14ac:dyDescent="0.25">
      <c r="B12" s="15" t="s">
        <v>72</v>
      </c>
      <c r="C12" s="18">
        <v>1.6</v>
      </c>
      <c r="D12" s="17" t="s">
        <v>73</v>
      </c>
    </row>
    <row r="13" spans="1:10" ht="24" x14ac:dyDescent="0.25">
      <c r="B13" s="15" t="s">
        <v>74</v>
      </c>
      <c r="C13" s="18">
        <v>0.4</v>
      </c>
      <c r="D13" s="17" t="s">
        <v>75</v>
      </c>
    </row>
    <row r="14" spans="1:10" x14ac:dyDescent="0.25">
      <c r="B14" s="15" t="s">
        <v>76</v>
      </c>
      <c r="C14" s="18">
        <v>1.5</v>
      </c>
      <c r="D14" s="17" t="s">
        <v>73</v>
      </c>
    </row>
    <row r="15" spans="1:10" x14ac:dyDescent="0.25">
      <c r="B15" s="15" t="s">
        <v>77</v>
      </c>
      <c r="C15" s="18">
        <v>0.06</v>
      </c>
      <c r="D15" s="17" t="s">
        <v>78</v>
      </c>
    </row>
    <row r="16" spans="1:10" ht="24" x14ac:dyDescent="0.25">
      <c r="B16" s="15" t="s">
        <v>79</v>
      </c>
      <c r="C16" s="16">
        <v>2</v>
      </c>
      <c r="D16" s="17" t="s">
        <v>80</v>
      </c>
    </row>
    <row r="17" spans="1:10" ht="15" customHeight="1" x14ac:dyDescent="0.25">
      <c r="A17" s="3" t="s">
        <v>81</v>
      </c>
      <c r="B17" s="3"/>
      <c r="C17" s="3"/>
      <c r="D17" s="3"/>
      <c r="E17" s="3"/>
      <c r="F17" s="3"/>
      <c r="G17" s="3"/>
      <c r="H17" s="3"/>
      <c r="I17" s="3"/>
      <c r="J17" s="3"/>
    </row>
    <row r="18" spans="1:10" ht="24" x14ac:dyDescent="0.25">
      <c r="B18" s="15" t="s">
        <v>82</v>
      </c>
      <c r="C18" s="19">
        <v>1</v>
      </c>
      <c r="D18" s="17" t="s">
        <v>83</v>
      </c>
    </row>
    <row r="19" spans="1:10" ht="24" x14ac:dyDescent="0.25">
      <c r="B19" s="15" t="s">
        <v>84</v>
      </c>
      <c r="C19" s="19">
        <v>0.5</v>
      </c>
      <c r="D19" s="17" t="s">
        <v>85</v>
      </c>
    </row>
    <row r="20" spans="1:10" ht="15" customHeight="1" x14ac:dyDescent="0.25">
      <c r="A20" s="3" t="s">
        <v>86</v>
      </c>
      <c r="B20" s="3"/>
      <c r="C20" s="3"/>
      <c r="D20" s="3"/>
      <c r="E20" s="3"/>
      <c r="F20" s="3"/>
      <c r="G20" s="3"/>
      <c r="H20" s="3"/>
      <c r="I20" s="3"/>
      <c r="J20" s="3"/>
    </row>
    <row r="21" spans="1:10" ht="36" x14ac:dyDescent="0.25">
      <c r="B21" s="15" t="s">
        <v>87</v>
      </c>
      <c r="C21" s="18">
        <v>3.0000000000000001E-3</v>
      </c>
      <c r="D21" s="17" t="s">
        <v>88</v>
      </c>
    </row>
    <row r="22" spans="1:10" x14ac:dyDescent="0.25">
      <c r="B22" s="15" t="s">
        <v>89</v>
      </c>
      <c r="C22" s="16">
        <v>300</v>
      </c>
      <c r="D22" s="17" t="s">
        <v>90</v>
      </c>
    </row>
    <row r="23" spans="1:10" x14ac:dyDescent="0.25">
      <c r="B23" s="15" t="s">
        <v>91</v>
      </c>
      <c r="C23" s="18">
        <v>1.4999999999999999E-2</v>
      </c>
      <c r="D23" s="17" t="s">
        <v>92</v>
      </c>
    </row>
    <row r="24" spans="1:10" ht="15" customHeight="1" x14ac:dyDescent="0.25">
      <c r="A24" s="3" t="s">
        <v>93</v>
      </c>
      <c r="B24" s="3"/>
      <c r="C24" s="3"/>
      <c r="D24" s="3"/>
      <c r="E24" s="3"/>
      <c r="F24" s="3"/>
      <c r="G24" s="3"/>
      <c r="H24" s="3"/>
      <c r="I24" s="3"/>
      <c r="J24" s="3"/>
    </row>
    <row r="26" spans="1:10" ht="15" customHeight="1" x14ac:dyDescent="0.25">
      <c r="A26" s="5" t="s">
        <v>94</v>
      </c>
      <c r="B26" s="5"/>
      <c r="C26" s="5"/>
      <c r="D26" s="5"/>
      <c r="E26" s="5"/>
      <c r="F26" s="5"/>
      <c r="G26" s="5"/>
      <c r="H26" s="5"/>
      <c r="I26" s="5"/>
      <c r="J26" s="5"/>
    </row>
    <row r="28" spans="1:10" ht="24" x14ac:dyDescent="0.25">
      <c r="B28" s="8" t="s">
        <v>95</v>
      </c>
      <c r="C28" s="8" t="s">
        <v>96</v>
      </c>
      <c r="D28" s="8" t="s">
        <v>97</v>
      </c>
      <c r="E28" s="8" t="s">
        <v>98</v>
      </c>
    </row>
    <row r="29" spans="1:10" x14ac:dyDescent="0.25">
      <c r="B29" s="20">
        <v>150</v>
      </c>
      <c r="C29" s="21">
        <f t="shared" ref="C29:C36" si="0">B29/$C$10</f>
        <v>3</v>
      </c>
      <c r="D29" s="20">
        <f t="shared" ref="D29:D36" si="1">B29/$C$16</f>
        <v>75</v>
      </c>
      <c r="E29" s="22" t="s">
        <v>99</v>
      </c>
    </row>
    <row r="30" spans="1:10" ht="22.5" x14ac:dyDescent="0.25">
      <c r="B30" s="20">
        <v>200</v>
      </c>
      <c r="C30" s="21">
        <f t="shared" si="0"/>
        <v>4</v>
      </c>
      <c r="D30" s="20">
        <f t="shared" si="1"/>
        <v>100</v>
      </c>
      <c r="E30" s="22" t="s">
        <v>100</v>
      </c>
    </row>
    <row r="31" spans="1:10" ht="45" x14ac:dyDescent="0.25">
      <c r="B31" s="20">
        <v>250</v>
      </c>
      <c r="C31" s="21">
        <f t="shared" si="0"/>
        <v>5</v>
      </c>
      <c r="D31" s="20">
        <f t="shared" si="1"/>
        <v>125</v>
      </c>
      <c r="E31" s="22" t="s">
        <v>101</v>
      </c>
    </row>
    <row r="32" spans="1:10" ht="22.5" x14ac:dyDescent="0.25">
      <c r="B32" s="20">
        <v>300</v>
      </c>
      <c r="C32" s="21">
        <f t="shared" si="0"/>
        <v>6</v>
      </c>
      <c r="D32" s="20">
        <f t="shared" si="1"/>
        <v>150</v>
      </c>
      <c r="E32" s="22" t="s">
        <v>102</v>
      </c>
    </row>
    <row r="33" spans="1:10" ht="45" x14ac:dyDescent="0.25">
      <c r="B33" s="20">
        <v>350</v>
      </c>
      <c r="C33" s="21">
        <f t="shared" si="0"/>
        <v>7</v>
      </c>
      <c r="D33" s="20">
        <f t="shared" si="1"/>
        <v>175</v>
      </c>
      <c r="E33" s="22" t="s">
        <v>103</v>
      </c>
    </row>
    <row r="34" spans="1:10" ht="33.75" x14ac:dyDescent="0.25">
      <c r="B34" s="20">
        <v>400</v>
      </c>
      <c r="C34" s="21">
        <f t="shared" si="0"/>
        <v>8</v>
      </c>
      <c r="D34" s="20">
        <f t="shared" si="1"/>
        <v>200</v>
      </c>
      <c r="E34" s="22" t="s">
        <v>104</v>
      </c>
    </row>
    <row r="35" spans="1:10" ht="22.5" x14ac:dyDescent="0.25">
      <c r="B35" s="20">
        <v>450</v>
      </c>
      <c r="C35" s="21">
        <f t="shared" si="0"/>
        <v>9</v>
      </c>
      <c r="D35" s="20">
        <f t="shared" si="1"/>
        <v>225</v>
      </c>
      <c r="E35" s="22" t="s">
        <v>105</v>
      </c>
    </row>
    <row r="36" spans="1:10" ht="22.5" x14ac:dyDescent="0.25">
      <c r="B36" s="20">
        <v>500</v>
      </c>
      <c r="C36" s="21">
        <f t="shared" si="0"/>
        <v>10</v>
      </c>
      <c r="D36" s="20">
        <f t="shared" si="1"/>
        <v>250</v>
      </c>
      <c r="E36" s="22" t="s">
        <v>106</v>
      </c>
    </row>
    <row r="38" spans="1:10" ht="15" customHeight="1" x14ac:dyDescent="0.25">
      <c r="A38" s="5" t="s">
        <v>107</v>
      </c>
      <c r="B38" s="5"/>
      <c r="C38" s="5"/>
      <c r="D38" s="5"/>
      <c r="E38" s="5"/>
      <c r="F38" s="5"/>
      <c r="G38" s="5"/>
      <c r="H38" s="5"/>
      <c r="I38" s="5"/>
      <c r="J38" s="5"/>
    </row>
    <row r="40" spans="1:10" x14ac:dyDescent="0.25">
      <c r="B40" s="8" t="s">
        <v>108</v>
      </c>
      <c r="C40" s="8" t="s">
        <v>109</v>
      </c>
      <c r="D40" s="8" t="s">
        <v>110</v>
      </c>
      <c r="E40" s="8" t="s">
        <v>111</v>
      </c>
    </row>
    <row r="41" spans="1:10" x14ac:dyDescent="0.25">
      <c r="B41" s="23">
        <v>5</v>
      </c>
      <c r="C41" s="24">
        <v>0.2</v>
      </c>
      <c r="D41" s="24">
        <v>0.154</v>
      </c>
      <c r="E41" s="20">
        <v>540</v>
      </c>
    </row>
    <row r="42" spans="1:10" x14ac:dyDescent="0.25">
      <c r="B42" s="23">
        <v>6</v>
      </c>
      <c r="C42" s="24">
        <v>0.28299999999999997</v>
      </c>
      <c r="D42" s="24">
        <v>0.222</v>
      </c>
      <c r="E42" s="20">
        <v>376</v>
      </c>
    </row>
    <row r="43" spans="1:10" x14ac:dyDescent="0.25">
      <c r="B43" s="23">
        <v>8</v>
      </c>
      <c r="C43" s="24">
        <v>0.50239999999999996</v>
      </c>
      <c r="D43" s="24">
        <v>0.39500000000000002</v>
      </c>
      <c r="E43" s="20">
        <v>211</v>
      </c>
    </row>
    <row r="44" spans="1:10" x14ac:dyDescent="0.25">
      <c r="B44" s="23">
        <v>10</v>
      </c>
      <c r="C44" s="24">
        <v>0.78</v>
      </c>
      <c r="D44" s="24">
        <v>0.61699999999999999</v>
      </c>
      <c r="E44" s="20">
        <v>135</v>
      </c>
    </row>
    <row r="45" spans="1:10" x14ac:dyDescent="0.25">
      <c r="B45" s="23">
        <v>12</v>
      </c>
      <c r="C45" s="24">
        <v>1.1299999999999999</v>
      </c>
      <c r="D45" s="24">
        <v>0.88</v>
      </c>
      <c r="E45" s="20">
        <v>94</v>
      </c>
    </row>
    <row r="46" spans="1:10" x14ac:dyDescent="0.25">
      <c r="B46" s="23">
        <v>14</v>
      </c>
      <c r="C46" s="24">
        <v>1.54</v>
      </c>
      <c r="D46" s="24">
        <v>1.208</v>
      </c>
      <c r="E46" s="20">
        <v>69</v>
      </c>
    </row>
    <row r="47" spans="1:10" x14ac:dyDescent="0.25">
      <c r="B47" s="23">
        <v>16</v>
      </c>
      <c r="C47" s="24">
        <v>2.0099999999999998</v>
      </c>
      <c r="D47" s="24">
        <v>1.5780000000000001</v>
      </c>
      <c r="E47" s="20">
        <v>53</v>
      </c>
    </row>
    <row r="48" spans="1:10" x14ac:dyDescent="0.25">
      <c r="B48" s="23">
        <v>20</v>
      </c>
      <c r="C48" s="24">
        <v>3.14</v>
      </c>
      <c r="D48" s="24">
        <v>2.4660000000000002</v>
      </c>
      <c r="E48" s="20">
        <v>34</v>
      </c>
    </row>
    <row r="49" spans="1:10" x14ac:dyDescent="0.25">
      <c r="B49" s="23">
        <v>25</v>
      </c>
      <c r="C49" s="24">
        <v>4.91</v>
      </c>
      <c r="D49" s="24">
        <v>3.8540000000000001</v>
      </c>
      <c r="E49" s="20">
        <v>21</v>
      </c>
    </row>
    <row r="51" spans="1:10" x14ac:dyDescent="0.25">
      <c r="B51" s="15" t="s">
        <v>112</v>
      </c>
      <c r="C51" s="25">
        <v>12</v>
      </c>
      <c r="D51" s="17" t="s">
        <v>113</v>
      </c>
    </row>
    <row r="52" spans="1:10" ht="24" x14ac:dyDescent="0.25">
      <c r="B52" s="15" t="s">
        <v>114</v>
      </c>
      <c r="C52" s="25">
        <v>11.5</v>
      </c>
      <c r="D52" s="17" t="s">
        <v>113</v>
      </c>
    </row>
    <row r="53" spans="1:10" x14ac:dyDescent="0.25">
      <c r="B53" s="15" t="s">
        <v>115</v>
      </c>
      <c r="C53" s="18">
        <v>0.02</v>
      </c>
      <c r="D53" s="17" t="s">
        <v>113</v>
      </c>
    </row>
    <row r="54" spans="1:10" ht="24" x14ac:dyDescent="0.25">
      <c r="B54" s="15" t="s">
        <v>116</v>
      </c>
      <c r="C54" s="18">
        <v>0.1</v>
      </c>
      <c r="D54" s="17" t="s">
        <v>117</v>
      </c>
    </row>
    <row r="55" spans="1:10" ht="24" x14ac:dyDescent="0.25">
      <c r="B55" s="15" t="s">
        <v>118</v>
      </c>
      <c r="C55" s="26">
        <v>0.05</v>
      </c>
      <c r="D55" s="17" t="s">
        <v>119</v>
      </c>
    </row>
    <row r="56" spans="1:10" x14ac:dyDescent="0.25">
      <c r="B56" s="15" t="s">
        <v>120</v>
      </c>
      <c r="C56" s="19">
        <v>7.85</v>
      </c>
      <c r="D56" s="17" t="s">
        <v>73</v>
      </c>
    </row>
    <row r="58" spans="1:10" ht="15" customHeight="1" x14ac:dyDescent="0.25">
      <c r="A58" s="5" t="s">
        <v>121</v>
      </c>
      <c r="B58" s="5"/>
      <c r="C58" s="5"/>
      <c r="D58" s="5"/>
      <c r="E58" s="5"/>
      <c r="F58" s="5"/>
      <c r="G58" s="5"/>
      <c r="H58" s="5"/>
      <c r="I58" s="5"/>
      <c r="J58" s="5"/>
    </row>
    <row r="60" spans="1:10" ht="15" customHeight="1" x14ac:dyDescent="0.25">
      <c r="A60" s="3" t="s">
        <v>122</v>
      </c>
      <c r="B60" s="3"/>
      <c r="C60" s="3"/>
      <c r="D60" s="3"/>
      <c r="E60" s="3"/>
      <c r="F60" s="3"/>
      <c r="G60" s="3"/>
      <c r="H60" s="3"/>
      <c r="I60" s="3"/>
      <c r="J60" s="3"/>
    </row>
    <row r="61" spans="1:10" ht="24" x14ac:dyDescent="0.25">
      <c r="B61" s="8" t="s">
        <v>123</v>
      </c>
      <c r="C61" s="8" t="s">
        <v>124</v>
      </c>
      <c r="D61" s="8" t="s">
        <v>125</v>
      </c>
      <c r="E61" s="8" t="s">
        <v>126</v>
      </c>
      <c r="F61" s="8"/>
    </row>
    <row r="62" spans="1:10" x14ac:dyDescent="0.25">
      <c r="B62" s="11" t="s">
        <v>127</v>
      </c>
      <c r="C62" s="27" t="s">
        <v>128</v>
      </c>
      <c r="D62" s="20">
        <v>215</v>
      </c>
      <c r="E62" s="20">
        <v>60</v>
      </c>
    </row>
    <row r="63" spans="1:10" x14ac:dyDescent="0.25">
      <c r="B63" s="11" t="s">
        <v>127</v>
      </c>
      <c r="C63" s="27" t="s">
        <v>129</v>
      </c>
      <c r="D63" s="20">
        <v>235</v>
      </c>
      <c r="E63" s="20">
        <v>50</v>
      </c>
    </row>
    <row r="64" spans="1:10" x14ac:dyDescent="0.25">
      <c r="B64" s="11" t="s">
        <v>130</v>
      </c>
      <c r="C64" s="27" t="s">
        <v>131</v>
      </c>
      <c r="D64" s="20">
        <v>400</v>
      </c>
      <c r="E64" s="20">
        <v>40</v>
      </c>
    </row>
    <row r="65" spans="1:10" x14ac:dyDescent="0.25">
      <c r="B65" s="11" t="s">
        <v>130</v>
      </c>
      <c r="C65" s="27" t="s">
        <v>132</v>
      </c>
      <c r="D65" s="20">
        <v>500</v>
      </c>
      <c r="E65" s="20">
        <v>50</v>
      </c>
    </row>
    <row r="67" spans="1:10" ht="24" x14ac:dyDescent="0.25">
      <c r="B67" s="15" t="s">
        <v>133</v>
      </c>
      <c r="C67" s="28" t="s">
        <v>131</v>
      </c>
      <c r="D67" s="17" t="s">
        <v>134</v>
      </c>
    </row>
    <row r="68" spans="1:10" ht="24" x14ac:dyDescent="0.25">
      <c r="B68" s="15" t="s">
        <v>135</v>
      </c>
      <c r="C68" s="28" t="s">
        <v>129</v>
      </c>
      <c r="D68" s="17" t="s">
        <v>134</v>
      </c>
    </row>
    <row r="70" spans="1:10" ht="15" customHeight="1" x14ac:dyDescent="0.25">
      <c r="A70" s="3" t="s">
        <v>136</v>
      </c>
      <c r="B70" s="3"/>
      <c r="C70" s="3"/>
      <c r="D70" s="3"/>
      <c r="E70" s="3"/>
      <c r="F70" s="3"/>
      <c r="G70" s="3"/>
      <c r="H70" s="3"/>
      <c r="I70" s="3"/>
      <c r="J70" s="3"/>
    </row>
    <row r="72" spans="1:10" ht="15" customHeight="1" x14ac:dyDescent="0.25">
      <c r="A72" s="5" t="s">
        <v>137</v>
      </c>
      <c r="B72" s="5"/>
      <c r="C72" s="5"/>
      <c r="D72" s="5"/>
      <c r="E72" s="5"/>
      <c r="F72" s="5"/>
      <c r="G72" s="5"/>
      <c r="H72" s="5"/>
      <c r="I72" s="5"/>
      <c r="J72" s="5"/>
    </row>
    <row r="74" spans="1:10" ht="24" x14ac:dyDescent="0.25">
      <c r="B74" s="15" t="s">
        <v>138</v>
      </c>
      <c r="C74" s="19">
        <v>1.3</v>
      </c>
      <c r="D74" s="17" t="s">
        <v>139</v>
      </c>
    </row>
    <row r="75" spans="1:10" ht="24" x14ac:dyDescent="0.25">
      <c r="B75" s="15" t="s">
        <v>140</v>
      </c>
      <c r="C75" s="19">
        <v>1.1000000000000001</v>
      </c>
      <c r="D75" s="17" t="s">
        <v>141</v>
      </c>
    </row>
    <row r="76" spans="1:10" x14ac:dyDescent="0.25">
      <c r="B76" s="15" t="s">
        <v>142</v>
      </c>
      <c r="C76" s="19">
        <v>1.6</v>
      </c>
      <c r="D76" s="17" t="s">
        <v>143</v>
      </c>
    </row>
    <row r="77" spans="1:10" ht="24" x14ac:dyDescent="0.25">
      <c r="B77" s="15" t="s">
        <v>144</v>
      </c>
      <c r="C77" s="26">
        <v>0.7</v>
      </c>
      <c r="D77" s="17" t="s">
        <v>145</v>
      </c>
    </row>
    <row r="78" spans="1:10" x14ac:dyDescent="0.25">
      <c r="B78" s="15" t="s">
        <v>146</v>
      </c>
      <c r="C78" s="16">
        <v>2400</v>
      </c>
      <c r="D78" s="17" t="s">
        <v>147</v>
      </c>
    </row>
    <row r="79" spans="1:10" x14ac:dyDescent="0.25">
      <c r="B79" s="15" t="s">
        <v>148</v>
      </c>
      <c r="C79" s="19">
        <v>1.5</v>
      </c>
      <c r="D79" s="17" t="s">
        <v>149</v>
      </c>
    </row>
    <row r="81" spans="1:10" ht="15" customHeight="1" x14ac:dyDescent="0.25">
      <c r="A81" s="5" t="s">
        <v>150</v>
      </c>
      <c r="B81" s="5"/>
      <c r="C81" s="5"/>
      <c r="D81" s="5"/>
      <c r="E81" s="5"/>
      <c r="F81" s="5"/>
      <c r="G81" s="5"/>
      <c r="H81" s="5"/>
      <c r="I81" s="5"/>
      <c r="J81" s="5"/>
    </row>
    <row r="83" spans="1:10" x14ac:dyDescent="0.25">
      <c r="B83" s="15" t="s">
        <v>151</v>
      </c>
      <c r="C83" s="19">
        <v>3</v>
      </c>
      <c r="D83" s="17" t="s">
        <v>113</v>
      </c>
    </row>
    <row r="84" spans="1:10" x14ac:dyDescent="0.25">
      <c r="B84" s="15" t="s">
        <v>152</v>
      </c>
      <c r="C84" s="19">
        <v>0.3</v>
      </c>
      <c r="D84" s="17" t="s">
        <v>113</v>
      </c>
    </row>
    <row r="85" spans="1:10" x14ac:dyDescent="0.25">
      <c r="B85" s="15" t="s">
        <v>153</v>
      </c>
      <c r="C85" s="18">
        <v>0.05</v>
      </c>
      <c r="D85" s="17" t="s">
        <v>113</v>
      </c>
    </row>
    <row r="86" spans="1:10" ht="24" x14ac:dyDescent="0.25">
      <c r="B86" s="15" t="s">
        <v>154</v>
      </c>
      <c r="C86" s="18">
        <v>1.2500000000000001E-2</v>
      </c>
      <c r="D86" s="17" t="s">
        <v>155</v>
      </c>
    </row>
    <row r="87" spans="1:10" ht="24" x14ac:dyDescent="0.25">
      <c r="B87" s="15" t="s">
        <v>156</v>
      </c>
      <c r="C87" s="26">
        <v>0.2</v>
      </c>
      <c r="D87" s="17" t="s">
        <v>157</v>
      </c>
    </row>
    <row r="88" spans="1:10" ht="24" x14ac:dyDescent="0.25">
      <c r="B88" s="15" t="s">
        <v>158</v>
      </c>
      <c r="C88" s="19">
        <v>3</v>
      </c>
      <c r="D88" s="17" t="s">
        <v>159</v>
      </c>
    </row>
    <row r="89" spans="1:10" x14ac:dyDescent="0.25">
      <c r="B89" s="15" t="s">
        <v>160</v>
      </c>
      <c r="C89" s="19">
        <v>15</v>
      </c>
      <c r="D89" s="17" t="s">
        <v>159</v>
      </c>
    </row>
    <row r="90" spans="1:10" x14ac:dyDescent="0.25">
      <c r="B90" s="15" t="s">
        <v>161</v>
      </c>
      <c r="C90" s="19">
        <v>11</v>
      </c>
      <c r="D90" s="17" t="s">
        <v>162</v>
      </c>
    </row>
    <row r="91" spans="1:10" ht="24" x14ac:dyDescent="0.25">
      <c r="B91" s="15" t="s">
        <v>163</v>
      </c>
      <c r="C91" s="19">
        <v>8</v>
      </c>
      <c r="D91" s="17" t="s">
        <v>159</v>
      </c>
    </row>
    <row r="92" spans="1:10" ht="24" x14ac:dyDescent="0.25">
      <c r="B92" s="15" t="s">
        <v>164</v>
      </c>
      <c r="C92" s="19">
        <v>1.1200000000000001</v>
      </c>
      <c r="D92" s="17" t="s">
        <v>159</v>
      </c>
    </row>
    <row r="93" spans="1:10" x14ac:dyDescent="0.25">
      <c r="B93" s="15" t="s">
        <v>165</v>
      </c>
      <c r="C93" s="19">
        <v>0.15</v>
      </c>
      <c r="D93" s="17" t="s">
        <v>166</v>
      </c>
    </row>
    <row r="94" spans="1:10" x14ac:dyDescent="0.25">
      <c r="B94" s="15" t="s">
        <v>167</v>
      </c>
      <c r="C94" s="25">
        <v>20</v>
      </c>
      <c r="D94" s="17" t="s">
        <v>168</v>
      </c>
    </row>
    <row r="95" spans="1:10" x14ac:dyDescent="0.25">
      <c r="B95" s="15" t="s">
        <v>169</v>
      </c>
      <c r="C95" s="19">
        <v>0.1</v>
      </c>
      <c r="D95" s="17" t="s">
        <v>170</v>
      </c>
    </row>
    <row r="97" spans="1:10" ht="15" customHeight="1" x14ac:dyDescent="0.25">
      <c r="A97" s="5" t="s">
        <v>171</v>
      </c>
      <c r="B97" s="5"/>
      <c r="C97" s="5"/>
      <c r="D97" s="5"/>
      <c r="E97" s="5"/>
      <c r="F97" s="5"/>
      <c r="G97" s="5"/>
      <c r="H97" s="5"/>
      <c r="I97" s="5"/>
      <c r="J97" s="5"/>
    </row>
    <row r="99" spans="1:10" x14ac:dyDescent="0.25">
      <c r="B99" s="15" t="s">
        <v>172</v>
      </c>
      <c r="C99" s="19">
        <v>8</v>
      </c>
      <c r="D99" s="17" t="s">
        <v>173</v>
      </c>
    </row>
    <row r="100" spans="1:10" x14ac:dyDescent="0.25">
      <c r="B100" s="15" t="s">
        <v>174</v>
      </c>
      <c r="C100" s="19">
        <v>4</v>
      </c>
      <c r="D100" s="17" t="s">
        <v>175</v>
      </c>
    </row>
    <row r="101" spans="1:10" ht="24" x14ac:dyDescent="0.25">
      <c r="B101" s="15" t="s">
        <v>176</v>
      </c>
      <c r="C101" s="19">
        <v>10</v>
      </c>
      <c r="D101" s="17" t="s">
        <v>177</v>
      </c>
    </row>
    <row r="102" spans="1:10" x14ac:dyDescent="0.25">
      <c r="B102" s="15" t="s">
        <v>178</v>
      </c>
      <c r="C102" s="19">
        <v>6</v>
      </c>
      <c r="D102" s="17" t="s">
        <v>175</v>
      </c>
    </row>
    <row r="103" spans="1:10" x14ac:dyDescent="0.25">
      <c r="B103" s="15" t="s">
        <v>179</v>
      </c>
      <c r="C103" s="16">
        <v>2</v>
      </c>
      <c r="D103" s="17" t="s">
        <v>180</v>
      </c>
    </row>
    <row r="104" spans="1:10" x14ac:dyDescent="0.25">
      <c r="B104" s="15" t="s">
        <v>181</v>
      </c>
      <c r="C104" s="19">
        <v>8</v>
      </c>
      <c r="D104" s="17" t="s">
        <v>182</v>
      </c>
    </row>
    <row r="105" spans="1:10" ht="24" x14ac:dyDescent="0.25">
      <c r="B105" s="15" t="s">
        <v>183</v>
      </c>
      <c r="C105" s="16">
        <v>10</v>
      </c>
      <c r="D105" s="17" t="s">
        <v>184</v>
      </c>
    </row>
    <row r="106" spans="1:10" x14ac:dyDescent="0.25">
      <c r="B106" s="15" t="s">
        <v>185</v>
      </c>
      <c r="C106" s="18">
        <v>0.09</v>
      </c>
      <c r="D106" s="17" t="s">
        <v>186</v>
      </c>
    </row>
    <row r="107" spans="1:10" x14ac:dyDescent="0.25">
      <c r="B107" s="15" t="s">
        <v>187</v>
      </c>
      <c r="C107" s="18">
        <v>0.1</v>
      </c>
      <c r="D107" s="17" t="s">
        <v>188</v>
      </c>
    </row>
    <row r="108" spans="1:10" ht="24" x14ac:dyDescent="0.25">
      <c r="B108" s="15" t="s">
        <v>189</v>
      </c>
      <c r="C108" s="19">
        <v>1.1000000000000001</v>
      </c>
      <c r="D108" s="17" t="s">
        <v>190</v>
      </c>
    </row>
  </sheetData>
  <mergeCells count="15">
    <mergeCell ref="A60:J60"/>
    <mergeCell ref="A70:J70"/>
    <mergeCell ref="A72:J72"/>
    <mergeCell ref="A81:J81"/>
    <mergeCell ref="A97:J97"/>
    <mergeCell ref="A20:J20"/>
    <mergeCell ref="A24:J24"/>
    <mergeCell ref="A26:J26"/>
    <mergeCell ref="A38:J38"/>
    <mergeCell ref="A58:J58"/>
    <mergeCell ref="A2:J2"/>
    <mergeCell ref="A3:J3"/>
    <mergeCell ref="A5:J5"/>
    <mergeCell ref="A7:J7"/>
    <mergeCell ref="A17:J1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5395"/>
  </sheetPr>
  <dimension ref="A2:E88"/>
  <sheetViews>
    <sheetView showGridLines="0" zoomScaleNormal="100" workbookViewId="0">
      <pane xSplit="1" ySplit="6" topLeftCell="B7" activePane="bottomRight" state="frozen"/>
      <selection pane="topRight" activeCell="B1" sqref="B1"/>
      <selection pane="bottomLeft" activeCell="A7" sqref="A7"/>
      <selection pane="bottomRight"/>
    </sheetView>
  </sheetViews>
  <sheetFormatPr baseColWidth="10" defaultColWidth="8.7109375" defaultRowHeight="15" x14ac:dyDescent="0.25"/>
  <cols>
    <col min="1" max="1" width="2" customWidth="1"/>
    <col min="2" max="2" width="38" customWidth="1"/>
    <col min="3" max="3" width="12" customWidth="1"/>
    <col min="4" max="4" width="16" customWidth="1"/>
    <col min="5" max="5" width="30" customWidth="1"/>
  </cols>
  <sheetData>
    <row r="2" spans="1:5" ht="30" customHeight="1" x14ac:dyDescent="0.25">
      <c r="A2" s="7" t="s">
        <v>191</v>
      </c>
      <c r="B2" s="7"/>
      <c r="C2" s="7"/>
      <c r="D2" s="7"/>
      <c r="E2" s="7"/>
    </row>
    <row r="3" spans="1:5" ht="15" customHeight="1" x14ac:dyDescent="0.25">
      <c r="A3" s="6" t="s">
        <v>192</v>
      </c>
      <c r="B3" s="6"/>
      <c r="C3" s="6"/>
      <c r="D3" s="6"/>
      <c r="E3" s="6"/>
    </row>
    <row r="5" spans="1:5" ht="15" customHeight="1" x14ac:dyDescent="0.25">
      <c r="A5" s="3" t="s">
        <v>193</v>
      </c>
      <c r="B5" s="3"/>
      <c r="C5" s="3"/>
      <c r="D5" s="3"/>
      <c r="E5" s="3"/>
    </row>
    <row r="7" spans="1:5" ht="15" customHeight="1" x14ac:dyDescent="0.25">
      <c r="A7" s="5" t="s">
        <v>194</v>
      </c>
      <c r="B7" s="5"/>
      <c r="C7" s="5"/>
      <c r="D7" s="5"/>
      <c r="E7" s="5"/>
    </row>
    <row r="9" spans="1:5" x14ac:dyDescent="0.25">
      <c r="B9" s="8" t="s">
        <v>195</v>
      </c>
      <c r="C9" s="8" t="s">
        <v>67</v>
      </c>
      <c r="D9" s="8" t="s">
        <v>196</v>
      </c>
      <c r="E9" s="8"/>
    </row>
    <row r="10" spans="1:5" x14ac:dyDescent="0.25">
      <c r="B10" s="15" t="s">
        <v>197</v>
      </c>
      <c r="C10" s="29" t="s">
        <v>198</v>
      </c>
      <c r="D10" s="30">
        <v>5500</v>
      </c>
    </row>
    <row r="11" spans="1:5" x14ac:dyDescent="0.25">
      <c r="B11" s="15" t="s">
        <v>199</v>
      </c>
      <c r="C11" s="29" t="s">
        <v>200</v>
      </c>
      <c r="D11" s="30">
        <v>15000</v>
      </c>
    </row>
    <row r="12" spans="1:5" x14ac:dyDescent="0.25">
      <c r="B12" s="15" t="s">
        <v>201</v>
      </c>
      <c r="C12" s="29" t="s">
        <v>200</v>
      </c>
      <c r="D12" s="30">
        <v>25000</v>
      </c>
    </row>
    <row r="13" spans="1:5" x14ac:dyDescent="0.25">
      <c r="B13" s="15" t="s">
        <v>202</v>
      </c>
      <c r="C13" s="29" t="s">
        <v>200</v>
      </c>
      <c r="D13" s="30">
        <v>17000</v>
      </c>
    </row>
    <row r="14" spans="1:5" x14ac:dyDescent="0.25">
      <c r="B14" s="15" t="s">
        <v>203</v>
      </c>
      <c r="C14" s="29" t="s">
        <v>204</v>
      </c>
      <c r="D14" s="30">
        <v>1500</v>
      </c>
    </row>
    <row r="16" spans="1:5" ht="15" customHeight="1" x14ac:dyDescent="0.25">
      <c r="A16" s="5" t="s">
        <v>205</v>
      </c>
      <c r="B16" s="5"/>
      <c r="C16" s="5"/>
      <c r="D16" s="5"/>
      <c r="E16" s="5"/>
    </row>
    <row r="18" spans="1:5" ht="15" customHeight="1" x14ac:dyDescent="0.25">
      <c r="A18" s="3" t="s">
        <v>206</v>
      </c>
      <c r="B18" s="3"/>
      <c r="C18" s="3"/>
      <c r="D18" s="3"/>
      <c r="E18" s="3"/>
    </row>
    <row r="19" spans="1:5" x14ac:dyDescent="0.25">
      <c r="B19" s="8" t="s">
        <v>207</v>
      </c>
      <c r="C19" s="8" t="s">
        <v>67</v>
      </c>
      <c r="D19" s="8" t="s">
        <v>196</v>
      </c>
      <c r="E19" s="8" t="s">
        <v>108</v>
      </c>
    </row>
    <row r="20" spans="1:5" x14ac:dyDescent="0.25">
      <c r="B20" s="15" t="s">
        <v>208</v>
      </c>
      <c r="C20" s="29" t="s">
        <v>209</v>
      </c>
      <c r="D20" s="30">
        <v>1500</v>
      </c>
      <c r="E20" s="20">
        <v>6</v>
      </c>
    </row>
    <row r="21" spans="1:5" x14ac:dyDescent="0.25">
      <c r="B21" s="15" t="s">
        <v>210</v>
      </c>
      <c r="C21" s="29" t="s">
        <v>209</v>
      </c>
      <c r="D21" s="30">
        <v>2700</v>
      </c>
      <c r="E21" s="20">
        <v>8</v>
      </c>
    </row>
    <row r="22" spans="1:5" x14ac:dyDescent="0.25">
      <c r="B22" s="15" t="s">
        <v>211</v>
      </c>
      <c r="C22" s="29" t="s">
        <v>209</v>
      </c>
      <c r="D22" s="30">
        <v>4200</v>
      </c>
      <c r="E22" s="20">
        <v>10</v>
      </c>
    </row>
    <row r="23" spans="1:5" x14ac:dyDescent="0.25">
      <c r="B23" s="15" t="s">
        <v>212</v>
      </c>
      <c r="C23" s="29" t="s">
        <v>209</v>
      </c>
      <c r="D23" s="30">
        <v>6000</v>
      </c>
      <c r="E23" s="20">
        <v>12</v>
      </c>
    </row>
    <row r="24" spans="1:5" x14ac:dyDescent="0.25">
      <c r="B24" s="15" t="s">
        <v>213</v>
      </c>
      <c r="C24" s="29" t="s">
        <v>209</v>
      </c>
      <c r="D24" s="30">
        <v>8200</v>
      </c>
      <c r="E24" s="20">
        <v>14</v>
      </c>
    </row>
    <row r="25" spans="1:5" x14ac:dyDescent="0.25">
      <c r="B25" s="15" t="s">
        <v>214</v>
      </c>
      <c r="C25" s="29" t="s">
        <v>209</v>
      </c>
      <c r="D25" s="30">
        <v>10800</v>
      </c>
      <c r="E25" s="20">
        <v>16</v>
      </c>
    </row>
    <row r="27" spans="1:5" ht="15" customHeight="1" x14ac:dyDescent="0.25">
      <c r="A27" s="3" t="s">
        <v>215</v>
      </c>
      <c r="B27" s="3"/>
      <c r="C27" s="3"/>
      <c r="D27" s="3"/>
      <c r="E27" s="3"/>
    </row>
    <row r="28" spans="1:5" x14ac:dyDescent="0.25">
      <c r="B28" s="8" t="s">
        <v>207</v>
      </c>
      <c r="C28" s="8" t="s">
        <v>67</v>
      </c>
      <c r="D28" s="8" t="s">
        <v>196</v>
      </c>
      <c r="E28" s="8" t="s">
        <v>108</v>
      </c>
    </row>
    <row r="29" spans="1:5" x14ac:dyDescent="0.25">
      <c r="B29" s="15" t="s">
        <v>216</v>
      </c>
      <c r="C29" s="29" t="s">
        <v>209</v>
      </c>
      <c r="D29" s="30">
        <v>1250</v>
      </c>
      <c r="E29" s="20">
        <v>6</v>
      </c>
    </row>
    <row r="30" spans="1:5" x14ac:dyDescent="0.25">
      <c r="B30" s="15" t="s">
        <v>217</v>
      </c>
      <c r="C30" s="29" t="s">
        <v>209</v>
      </c>
      <c r="D30" s="30">
        <v>2250</v>
      </c>
      <c r="E30" s="20">
        <v>8</v>
      </c>
    </row>
    <row r="31" spans="1:5" x14ac:dyDescent="0.25">
      <c r="B31" s="15" t="s">
        <v>218</v>
      </c>
      <c r="C31" s="29" t="s">
        <v>209</v>
      </c>
      <c r="D31" s="30">
        <v>3500</v>
      </c>
      <c r="E31" s="20">
        <v>10</v>
      </c>
    </row>
    <row r="32" spans="1:5" x14ac:dyDescent="0.25">
      <c r="B32" s="15" t="s">
        <v>219</v>
      </c>
      <c r="C32" s="29" t="s">
        <v>209</v>
      </c>
      <c r="D32" s="30">
        <v>5000</v>
      </c>
      <c r="E32" s="20">
        <v>12</v>
      </c>
    </row>
    <row r="33" spans="1:5" x14ac:dyDescent="0.25">
      <c r="B33" s="15" t="s">
        <v>220</v>
      </c>
      <c r="C33" s="29" t="s">
        <v>69</v>
      </c>
      <c r="D33" s="30">
        <v>1200</v>
      </c>
    </row>
    <row r="35" spans="1:5" ht="15" customHeight="1" x14ac:dyDescent="0.25">
      <c r="A35" s="5" t="s">
        <v>221</v>
      </c>
      <c r="B35" s="5"/>
      <c r="C35" s="5"/>
      <c r="D35" s="5"/>
      <c r="E35" s="5"/>
    </row>
    <row r="37" spans="1:5" x14ac:dyDescent="0.25">
      <c r="B37" s="8" t="s">
        <v>195</v>
      </c>
      <c r="C37" s="8" t="s">
        <v>67</v>
      </c>
      <c r="D37" s="8" t="s">
        <v>196</v>
      </c>
      <c r="E37" s="8"/>
    </row>
    <row r="38" spans="1:5" x14ac:dyDescent="0.25">
      <c r="B38" s="15" t="s">
        <v>222</v>
      </c>
      <c r="C38" s="29" t="s">
        <v>223</v>
      </c>
      <c r="D38" s="30">
        <v>3000</v>
      </c>
    </row>
    <row r="39" spans="1:5" x14ac:dyDescent="0.25">
      <c r="B39" s="15" t="s">
        <v>224</v>
      </c>
      <c r="C39" s="29" t="s">
        <v>223</v>
      </c>
      <c r="D39" s="30">
        <v>2200</v>
      </c>
    </row>
    <row r="40" spans="1:5" x14ac:dyDescent="0.25">
      <c r="B40" s="15" t="s">
        <v>225</v>
      </c>
      <c r="C40" s="29" t="s">
        <v>69</v>
      </c>
      <c r="D40" s="30">
        <v>1000</v>
      </c>
    </row>
    <row r="41" spans="1:5" x14ac:dyDescent="0.25">
      <c r="B41" s="15" t="s">
        <v>226</v>
      </c>
      <c r="C41" s="29" t="s">
        <v>223</v>
      </c>
      <c r="D41" s="30">
        <v>350</v>
      </c>
    </row>
    <row r="42" spans="1:5" x14ac:dyDescent="0.25">
      <c r="B42" s="15" t="s">
        <v>227</v>
      </c>
      <c r="C42" s="29" t="s">
        <v>223</v>
      </c>
      <c r="D42" s="30">
        <v>450</v>
      </c>
    </row>
    <row r="43" spans="1:5" x14ac:dyDescent="0.25">
      <c r="B43" s="15" t="s">
        <v>228</v>
      </c>
      <c r="C43" s="29" t="s">
        <v>223</v>
      </c>
      <c r="D43" s="30">
        <v>7500</v>
      </c>
    </row>
    <row r="44" spans="1:5" x14ac:dyDescent="0.25">
      <c r="B44" s="15" t="s">
        <v>229</v>
      </c>
      <c r="C44" s="29" t="s">
        <v>223</v>
      </c>
      <c r="D44" s="30">
        <v>8500</v>
      </c>
    </row>
    <row r="45" spans="1:5" x14ac:dyDescent="0.25">
      <c r="B45" s="15" t="s">
        <v>230</v>
      </c>
      <c r="C45" s="29" t="s">
        <v>231</v>
      </c>
      <c r="D45" s="30">
        <v>3500</v>
      </c>
    </row>
    <row r="47" spans="1:5" ht="15" customHeight="1" x14ac:dyDescent="0.25">
      <c r="A47" s="5" t="s">
        <v>232</v>
      </c>
      <c r="B47" s="5"/>
      <c r="C47" s="5"/>
      <c r="D47" s="5"/>
      <c r="E47" s="5"/>
    </row>
    <row r="49" spans="1:5" x14ac:dyDescent="0.25">
      <c r="B49" s="8" t="s">
        <v>195</v>
      </c>
      <c r="C49" s="8" t="s">
        <v>67</v>
      </c>
      <c r="D49" s="8" t="s">
        <v>196</v>
      </c>
      <c r="E49" s="8"/>
    </row>
    <row r="50" spans="1:5" x14ac:dyDescent="0.25">
      <c r="B50" s="15" t="s">
        <v>233</v>
      </c>
      <c r="C50" s="29" t="s">
        <v>69</v>
      </c>
      <c r="D50" s="30">
        <v>650</v>
      </c>
    </row>
    <row r="51" spans="1:5" x14ac:dyDescent="0.25">
      <c r="B51" s="15" t="s">
        <v>234</v>
      </c>
      <c r="C51" s="29" t="s">
        <v>69</v>
      </c>
      <c r="D51" s="30">
        <v>450</v>
      </c>
    </row>
    <row r="52" spans="1:5" x14ac:dyDescent="0.25">
      <c r="B52" s="15" t="s">
        <v>235</v>
      </c>
      <c r="C52" s="29" t="s">
        <v>69</v>
      </c>
      <c r="D52" s="30">
        <v>2800</v>
      </c>
    </row>
    <row r="53" spans="1:5" x14ac:dyDescent="0.25">
      <c r="B53" s="15" t="s">
        <v>236</v>
      </c>
      <c r="C53" s="29" t="s">
        <v>231</v>
      </c>
      <c r="D53" s="30">
        <v>3200</v>
      </c>
    </row>
    <row r="54" spans="1:5" x14ac:dyDescent="0.25">
      <c r="B54" s="15" t="s">
        <v>237</v>
      </c>
      <c r="C54" s="29" t="s">
        <v>238</v>
      </c>
      <c r="D54" s="30">
        <v>6500</v>
      </c>
    </row>
    <row r="55" spans="1:5" x14ac:dyDescent="0.25">
      <c r="B55" s="15" t="s">
        <v>239</v>
      </c>
      <c r="C55" s="29" t="s">
        <v>240</v>
      </c>
      <c r="D55" s="30">
        <v>6000</v>
      </c>
    </row>
    <row r="57" spans="1:5" ht="15" customHeight="1" x14ac:dyDescent="0.25">
      <c r="A57" s="5" t="s">
        <v>241</v>
      </c>
      <c r="B57" s="5"/>
      <c r="C57" s="5"/>
      <c r="D57" s="5"/>
      <c r="E57" s="5"/>
    </row>
    <row r="59" spans="1:5" x14ac:dyDescent="0.25">
      <c r="B59" s="8" t="s">
        <v>242</v>
      </c>
      <c r="C59" s="8" t="s">
        <v>243</v>
      </c>
      <c r="D59" s="8" t="s">
        <v>244</v>
      </c>
      <c r="E59" s="8"/>
    </row>
    <row r="60" spans="1:5" x14ac:dyDescent="0.25">
      <c r="B60" s="15" t="s">
        <v>245</v>
      </c>
      <c r="C60" s="29" t="s">
        <v>246</v>
      </c>
      <c r="D60" s="30">
        <v>350000</v>
      </c>
    </row>
    <row r="61" spans="1:5" ht="24" x14ac:dyDescent="0.25">
      <c r="B61" s="15" t="s">
        <v>247</v>
      </c>
      <c r="C61" s="29" t="s">
        <v>248</v>
      </c>
      <c r="D61" s="26">
        <v>0.28000000000000003</v>
      </c>
    </row>
    <row r="62" spans="1:5" x14ac:dyDescent="0.25">
      <c r="B62" s="15" t="s">
        <v>249</v>
      </c>
      <c r="C62" s="29" t="s">
        <v>248</v>
      </c>
      <c r="D62" s="26">
        <v>0.22</v>
      </c>
    </row>
    <row r="63" spans="1:5" ht="22.5" x14ac:dyDescent="0.25">
      <c r="B63" s="15" t="s">
        <v>250</v>
      </c>
      <c r="C63" s="29" t="s">
        <v>251</v>
      </c>
      <c r="D63" s="26">
        <v>0.05</v>
      </c>
    </row>
    <row r="64" spans="1:5" ht="22.5" x14ac:dyDescent="0.25">
      <c r="B64" s="15" t="s">
        <v>252</v>
      </c>
      <c r="C64" s="29" t="s">
        <v>251</v>
      </c>
      <c r="D64" s="26">
        <v>0.05</v>
      </c>
    </row>
    <row r="65" spans="1:5" ht="22.5" x14ac:dyDescent="0.25">
      <c r="B65" s="15" t="s">
        <v>253</v>
      </c>
      <c r="C65" s="29" t="s">
        <v>254</v>
      </c>
      <c r="D65" s="26">
        <v>0.08</v>
      </c>
    </row>
    <row r="66" spans="1:5" ht="22.5" x14ac:dyDescent="0.25">
      <c r="B66" s="15" t="s">
        <v>255</v>
      </c>
      <c r="C66" s="29" t="s">
        <v>254</v>
      </c>
      <c r="D66" s="26">
        <v>0.08</v>
      </c>
    </row>
    <row r="67" spans="1:5" ht="22.5" x14ac:dyDescent="0.25">
      <c r="B67" s="15" t="s">
        <v>256</v>
      </c>
      <c r="C67" s="29" t="s">
        <v>257</v>
      </c>
      <c r="D67" s="26">
        <v>0.18</v>
      </c>
    </row>
    <row r="69" spans="1:5" ht="20.85" customHeight="1" x14ac:dyDescent="0.25">
      <c r="A69" s="3" t="s">
        <v>258</v>
      </c>
      <c r="B69" s="3"/>
      <c r="C69" s="3"/>
      <c r="D69" s="3"/>
      <c r="E69" s="3"/>
    </row>
    <row r="71" spans="1:5" ht="15" customHeight="1" x14ac:dyDescent="0.25">
      <c r="A71" s="5" t="s">
        <v>259</v>
      </c>
      <c r="B71" s="5"/>
      <c r="C71" s="5"/>
      <c r="D71" s="5"/>
      <c r="E71" s="5"/>
    </row>
    <row r="73" spans="1:5" ht="15" customHeight="1" x14ac:dyDescent="0.25">
      <c r="A73" s="3" t="s">
        <v>260</v>
      </c>
      <c r="B73" s="3"/>
      <c r="C73" s="3"/>
      <c r="D73" s="3"/>
      <c r="E73" s="3"/>
    </row>
    <row r="74" spans="1:5" x14ac:dyDescent="0.25">
      <c r="B74" s="8" t="s">
        <v>242</v>
      </c>
      <c r="C74" s="8" t="s">
        <v>67</v>
      </c>
      <c r="D74" s="8" t="s">
        <v>261</v>
      </c>
      <c r="E74" s="8"/>
    </row>
    <row r="75" spans="1:5" x14ac:dyDescent="0.25">
      <c r="B75" s="15" t="s">
        <v>262</v>
      </c>
      <c r="C75" s="29" t="s">
        <v>246</v>
      </c>
      <c r="D75" s="30">
        <v>200000</v>
      </c>
    </row>
    <row r="76" spans="1:5" x14ac:dyDescent="0.25">
      <c r="B76" s="15" t="s">
        <v>263</v>
      </c>
      <c r="C76" s="29" t="s">
        <v>204</v>
      </c>
      <c r="D76" s="30">
        <v>1886</v>
      </c>
    </row>
    <row r="77" spans="1:5" x14ac:dyDescent="0.25">
      <c r="B77" s="15" t="s">
        <v>264</v>
      </c>
      <c r="C77" s="29" t="s">
        <v>204</v>
      </c>
      <c r="D77" s="30">
        <v>1162</v>
      </c>
    </row>
    <row r="78" spans="1:5" x14ac:dyDescent="0.25">
      <c r="B78" s="15" t="s">
        <v>265</v>
      </c>
      <c r="C78" s="29" t="s">
        <v>204</v>
      </c>
      <c r="D78" s="30">
        <v>1200</v>
      </c>
    </row>
    <row r="79" spans="1:5" x14ac:dyDescent="0.25">
      <c r="B79" s="15" t="s">
        <v>266</v>
      </c>
      <c r="C79" s="29" t="s">
        <v>204</v>
      </c>
      <c r="D79" s="30">
        <v>1505</v>
      </c>
    </row>
    <row r="80" spans="1:5" x14ac:dyDescent="0.25">
      <c r="B80" s="15" t="s">
        <v>267</v>
      </c>
      <c r="C80" s="29" t="s">
        <v>204</v>
      </c>
      <c r="D80" s="30">
        <v>1500</v>
      </c>
    </row>
    <row r="81" spans="1:5" x14ac:dyDescent="0.25">
      <c r="B81" s="15" t="s">
        <v>268</v>
      </c>
      <c r="C81" s="29" t="s">
        <v>269</v>
      </c>
      <c r="D81" s="30">
        <v>6045</v>
      </c>
    </row>
    <row r="82" spans="1:5" x14ac:dyDescent="0.25">
      <c r="B82" s="15" t="s">
        <v>270</v>
      </c>
      <c r="C82" s="29" t="s">
        <v>269</v>
      </c>
      <c r="D82" s="30">
        <v>9500</v>
      </c>
    </row>
    <row r="83" spans="1:5" x14ac:dyDescent="0.25">
      <c r="B83" s="15" t="s">
        <v>271</v>
      </c>
      <c r="C83" s="29" t="s">
        <v>269</v>
      </c>
      <c r="D83" s="30">
        <v>11500</v>
      </c>
    </row>
    <row r="84" spans="1:5" x14ac:dyDescent="0.25">
      <c r="B84" s="15" t="s">
        <v>272</v>
      </c>
      <c r="C84" s="29" t="s">
        <v>273</v>
      </c>
      <c r="D84" s="30">
        <v>500</v>
      </c>
    </row>
    <row r="85" spans="1:5" x14ac:dyDescent="0.25">
      <c r="B85" s="15" t="s">
        <v>274</v>
      </c>
      <c r="C85" s="29" t="s">
        <v>273</v>
      </c>
      <c r="D85" s="30">
        <v>500</v>
      </c>
    </row>
    <row r="86" spans="1:5" x14ac:dyDescent="0.25">
      <c r="B86" s="15" t="s">
        <v>275</v>
      </c>
      <c r="C86" s="29" t="s">
        <v>269</v>
      </c>
      <c r="D86" s="30">
        <v>3025</v>
      </c>
    </row>
    <row r="88" spans="1:5" ht="15" customHeight="1" x14ac:dyDescent="0.25">
      <c r="A88" s="3" t="s">
        <v>276</v>
      </c>
      <c r="B88" s="3"/>
      <c r="C88" s="3"/>
      <c r="D88" s="3"/>
      <c r="E88" s="3"/>
    </row>
  </sheetData>
  <mergeCells count="14">
    <mergeCell ref="A69:E69"/>
    <mergeCell ref="A71:E71"/>
    <mergeCell ref="A73:E73"/>
    <mergeCell ref="A88:E88"/>
    <mergeCell ref="A18:E18"/>
    <mergeCell ref="A27:E27"/>
    <mergeCell ref="A35:E35"/>
    <mergeCell ref="A47:E47"/>
    <mergeCell ref="A57:E57"/>
    <mergeCell ref="A2:E2"/>
    <mergeCell ref="A3:E3"/>
    <mergeCell ref="A5:E5"/>
    <mergeCell ref="A7:E7"/>
    <mergeCell ref="A16:E1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48235"/>
  </sheetPr>
  <dimension ref="A2:L187"/>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baseColWidth="10" defaultColWidth="8.7109375" defaultRowHeight="15" x14ac:dyDescent="0.25"/>
  <cols>
    <col min="1" max="1" width="2" customWidth="1"/>
    <col min="2" max="2" width="30" customWidth="1"/>
    <col min="3" max="6" width="9" customWidth="1"/>
    <col min="7" max="12" width="11" customWidth="1"/>
  </cols>
  <sheetData>
    <row r="2" spans="1:12" ht="27.75" customHeight="1" x14ac:dyDescent="0.25">
      <c r="A2" s="7" t="s">
        <v>277</v>
      </c>
      <c r="B2" s="7"/>
      <c r="C2" s="7"/>
      <c r="D2" s="7"/>
      <c r="E2" s="7"/>
      <c r="F2" s="7"/>
      <c r="G2" s="7"/>
      <c r="H2" s="7"/>
      <c r="I2" s="7"/>
      <c r="J2" s="7"/>
      <c r="K2" s="7"/>
      <c r="L2" s="7"/>
    </row>
    <row r="3" spans="1:12" ht="15" customHeight="1" x14ac:dyDescent="0.25">
      <c r="A3" s="6" t="s">
        <v>278</v>
      </c>
      <c r="B3" s="6"/>
      <c r="C3" s="6"/>
      <c r="D3" s="6"/>
      <c r="E3" s="6"/>
      <c r="F3" s="6"/>
      <c r="G3" s="6"/>
      <c r="H3" s="6"/>
      <c r="I3" s="6"/>
      <c r="J3" s="6"/>
      <c r="K3" s="6"/>
      <c r="L3" s="6"/>
    </row>
    <row r="5" spans="1:12" ht="15" customHeight="1" x14ac:dyDescent="0.25">
      <c r="A5" s="5" t="s">
        <v>279</v>
      </c>
      <c r="B5" s="5"/>
      <c r="C5" s="5"/>
      <c r="D5" s="5"/>
      <c r="E5" s="5"/>
      <c r="F5" s="5"/>
      <c r="G5" s="5"/>
      <c r="H5" s="5"/>
      <c r="I5" s="5"/>
      <c r="J5" s="5"/>
      <c r="K5" s="5"/>
      <c r="L5" s="5"/>
    </row>
    <row r="7" spans="1:12" ht="15" customHeight="1" x14ac:dyDescent="0.25">
      <c r="A7" s="3" t="s">
        <v>280</v>
      </c>
      <c r="B7" s="3"/>
      <c r="C7" s="3"/>
      <c r="D7" s="3"/>
      <c r="E7" s="3"/>
      <c r="F7" s="3"/>
      <c r="G7" s="3"/>
      <c r="H7" s="3"/>
      <c r="I7" s="3"/>
      <c r="J7" s="3"/>
      <c r="K7" s="3"/>
      <c r="L7" s="3"/>
    </row>
    <row r="8" spans="1:12" ht="24" x14ac:dyDescent="0.25">
      <c r="B8" s="8" t="s">
        <v>281</v>
      </c>
      <c r="C8" s="8" t="s">
        <v>282</v>
      </c>
      <c r="D8" s="8" t="s">
        <v>283</v>
      </c>
      <c r="E8" s="8" t="s">
        <v>284</v>
      </c>
      <c r="F8" s="8" t="s">
        <v>285</v>
      </c>
      <c r="G8" s="8" t="s">
        <v>286</v>
      </c>
      <c r="H8" s="8" t="s">
        <v>287</v>
      </c>
    </row>
    <row r="9" spans="1:12" x14ac:dyDescent="0.25">
      <c r="B9" s="31" t="s">
        <v>288</v>
      </c>
      <c r="C9" s="32">
        <v>12</v>
      </c>
      <c r="D9" s="33">
        <v>0.65</v>
      </c>
      <c r="E9" s="33">
        <v>0.65</v>
      </c>
      <c r="F9" s="33">
        <v>0.9</v>
      </c>
      <c r="G9" s="24">
        <f>D9*E9*F9</f>
        <v>0.38025000000000003</v>
      </c>
      <c r="H9" s="24">
        <f>G9*C9</f>
        <v>4.5630000000000006</v>
      </c>
    </row>
    <row r="10" spans="1:12" x14ac:dyDescent="0.25">
      <c r="B10" s="31" t="s">
        <v>289</v>
      </c>
      <c r="C10" s="32">
        <v>0</v>
      </c>
      <c r="D10" s="33">
        <v>0</v>
      </c>
      <c r="E10" s="33">
        <v>0</v>
      </c>
      <c r="F10" s="33">
        <v>0</v>
      </c>
      <c r="G10" s="24">
        <f>D10*E10*F10</f>
        <v>0</v>
      </c>
      <c r="H10" s="24">
        <f>G10*C10</f>
        <v>0</v>
      </c>
    </row>
    <row r="11" spans="1:12" ht="15" customHeight="1" x14ac:dyDescent="0.25">
      <c r="A11" s="2" t="s">
        <v>290</v>
      </c>
      <c r="B11" s="2"/>
      <c r="C11" s="2"/>
      <c r="D11" s="2"/>
      <c r="E11" s="2"/>
      <c r="F11" s="2"/>
      <c r="G11" s="34"/>
      <c r="H11" s="35">
        <f>SUM(H9:H10)</f>
        <v>4.5630000000000006</v>
      </c>
      <c r="I11" s="34"/>
      <c r="J11" s="34"/>
      <c r="K11" s="34"/>
      <c r="L11" s="34"/>
    </row>
    <row r="13" spans="1:12" ht="15" customHeight="1" x14ac:dyDescent="0.25">
      <c r="A13" s="3" t="s">
        <v>291</v>
      </c>
      <c r="B13" s="3"/>
      <c r="C13" s="3"/>
      <c r="D13" s="3"/>
      <c r="E13" s="3"/>
      <c r="F13" s="3"/>
      <c r="G13" s="3"/>
      <c r="H13" s="3"/>
      <c r="I13" s="3"/>
      <c r="J13" s="3"/>
      <c r="K13" s="3"/>
      <c r="L13" s="3"/>
    </row>
    <row r="14" spans="1:12" ht="24" x14ac:dyDescent="0.25">
      <c r="B14" s="8" t="s">
        <v>281</v>
      </c>
      <c r="C14" s="8"/>
      <c r="D14" s="8" t="s">
        <v>292</v>
      </c>
      <c r="E14" s="8" t="s">
        <v>284</v>
      </c>
      <c r="F14" s="8" t="s">
        <v>285</v>
      </c>
      <c r="G14" s="8"/>
      <c r="H14" s="8" t="s">
        <v>287</v>
      </c>
    </row>
    <row r="15" spans="1:12" x14ac:dyDescent="0.25">
      <c r="B15" s="31" t="s">
        <v>293</v>
      </c>
      <c r="C15" s="36"/>
      <c r="D15" s="19">
        <v>60.85</v>
      </c>
      <c r="E15" s="33">
        <v>0.6</v>
      </c>
      <c r="F15" s="33">
        <v>0.65</v>
      </c>
      <c r="G15" s="36"/>
      <c r="H15" s="24">
        <f>D15*E15*F15</f>
        <v>23.7315</v>
      </c>
    </row>
    <row r="16" spans="1:12" ht="20.85" customHeight="1" x14ac:dyDescent="0.25">
      <c r="A16" s="3" t="s">
        <v>294</v>
      </c>
      <c r="B16" s="3"/>
      <c r="C16" s="3"/>
      <c r="D16" s="3"/>
      <c r="E16" s="3"/>
      <c r="F16" s="3"/>
      <c r="G16" s="3"/>
      <c r="H16" s="3"/>
      <c r="I16" s="3"/>
      <c r="J16" s="3"/>
      <c r="K16" s="3"/>
      <c r="L16" s="3"/>
    </row>
    <row r="18" spans="1:12" ht="15" customHeight="1" x14ac:dyDescent="0.25">
      <c r="A18" s="5" t="s">
        <v>295</v>
      </c>
      <c r="B18" s="5"/>
      <c r="C18" s="5"/>
      <c r="D18" s="5"/>
      <c r="E18" s="5"/>
      <c r="F18" s="5"/>
      <c r="G18" s="5"/>
      <c r="H18" s="5"/>
      <c r="I18" s="5"/>
      <c r="J18" s="5"/>
      <c r="K18" s="5"/>
      <c r="L18" s="5"/>
    </row>
    <row r="20" spans="1:12" x14ac:dyDescent="0.25">
      <c r="B20" s="37" t="s">
        <v>95</v>
      </c>
      <c r="C20" s="16">
        <v>150</v>
      </c>
    </row>
    <row r="21" spans="1:12" ht="15" customHeight="1" x14ac:dyDescent="0.25">
      <c r="A21" s="3" t="s">
        <v>296</v>
      </c>
      <c r="B21" s="3"/>
      <c r="C21" s="3"/>
      <c r="D21" s="3"/>
      <c r="E21" s="3"/>
      <c r="F21" s="3"/>
      <c r="G21" s="3"/>
      <c r="H21" s="3"/>
      <c r="I21" s="3"/>
      <c r="J21" s="3"/>
      <c r="K21" s="3"/>
      <c r="L21" s="3"/>
    </row>
    <row r="22" spans="1:12" ht="36" x14ac:dyDescent="0.25">
      <c r="B22" s="8" t="s">
        <v>297</v>
      </c>
      <c r="C22" s="8" t="s">
        <v>282</v>
      </c>
      <c r="D22" s="8" t="s">
        <v>298</v>
      </c>
      <c r="E22" s="8" t="s">
        <v>284</v>
      </c>
      <c r="F22" s="8" t="s">
        <v>299</v>
      </c>
      <c r="G22" s="8" t="s">
        <v>286</v>
      </c>
      <c r="H22" s="8" t="s">
        <v>287</v>
      </c>
    </row>
    <row r="23" spans="1:12" x14ac:dyDescent="0.25">
      <c r="B23" s="15" t="s">
        <v>300</v>
      </c>
      <c r="C23" s="32">
        <v>12</v>
      </c>
      <c r="D23" s="33">
        <v>0.55000000000000004</v>
      </c>
      <c r="E23" s="33">
        <v>0.55000000000000004</v>
      </c>
      <c r="F23" s="38">
        <v>0.05</v>
      </c>
      <c r="G23" s="24">
        <f>D23*E23*F23</f>
        <v>1.5125000000000003E-2</v>
      </c>
      <c r="H23" s="24">
        <f>G23*C23</f>
        <v>0.18150000000000005</v>
      </c>
    </row>
    <row r="24" spans="1:12" x14ac:dyDescent="0.25">
      <c r="B24" s="15" t="s">
        <v>301</v>
      </c>
      <c r="C24" s="36"/>
      <c r="D24" s="39">
        <f>D15</f>
        <v>60.85</v>
      </c>
      <c r="E24" s="33">
        <v>0.4</v>
      </c>
      <c r="F24" s="38">
        <v>0.05</v>
      </c>
      <c r="G24" s="36"/>
      <c r="H24" s="24">
        <f>D24*E24*F24</f>
        <v>1.2170000000000003</v>
      </c>
    </row>
    <row r="25" spans="1:12" ht="15" customHeight="1" x14ac:dyDescent="0.25">
      <c r="A25" s="2" t="s">
        <v>302</v>
      </c>
      <c r="B25" s="2"/>
      <c r="C25" s="2"/>
      <c r="D25" s="2"/>
      <c r="E25" s="2"/>
      <c r="F25" s="2"/>
      <c r="G25" s="34"/>
      <c r="H25" s="35">
        <f>SUM(H23:H24)</f>
        <v>1.3985000000000003</v>
      </c>
      <c r="I25" s="34"/>
      <c r="J25" s="34"/>
      <c r="K25" s="34"/>
      <c r="L25" s="34"/>
    </row>
    <row r="26" spans="1:12" x14ac:dyDescent="0.25">
      <c r="B26" s="8" t="s">
        <v>303</v>
      </c>
      <c r="C26" s="8" t="s">
        <v>304</v>
      </c>
      <c r="D26" s="8"/>
      <c r="E26" s="8"/>
      <c r="F26" s="8"/>
      <c r="G26" s="8" t="s">
        <v>305</v>
      </c>
      <c r="H26" s="8" t="s">
        <v>67</v>
      </c>
    </row>
    <row r="27" spans="1:12" x14ac:dyDescent="0.25">
      <c r="B27" s="15" t="s">
        <v>197</v>
      </c>
      <c r="C27" s="1"/>
      <c r="D27" s="1"/>
      <c r="E27" s="1"/>
      <c r="F27" s="1"/>
      <c r="G27" s="21">
        <f>ROUNDUP(H25*C20/POIDS_SAC_CIMENT,0)</f>
        <v>5</v>
      </c>
      <c r="H27" s="40" t="s">
        <v>306</v>
      </c>
    </row>
    <row r="28" spans="1:12" x14ac:dyDescent="0.25">
      <c r="B28" s="15" t="s">
        <v>201</v>
      </c>
      <c r="G28" s="24">
        <f>H25*COEF_GRAVIER_VOL*DENSITE_GRAVIER</f>
        <v>1.7900800000000006</v>
      </c>
      <c r="H28" s="40" t="s">
        <v>307</v>
      </c>
    </row>
    <row r="29" spans="1:12" x14ac:dyDescent="0.25">
      <c r="B29" s="15" t="s">
        <v>199</v>
      </c>
      <c r="G29" s="24">
        <f>H25*COEF_SABLE_VOL*DENSITE_SABLE</f>
        <v>0.83910000000000018</v>
      </c>
      <c r="H29" s="40" t="s">
        <v>307</v>
      </c>
    </row>
    <row r="30" spans="1:12" x14ac:dyDescent="0.25">
      <c r="B30" s="15" t="s">
        <v>308</v>
      </c>
      <c r="G30" s="20">
        <f>H25*C20/EAU_PAR_DOSAGE</f>
        <v>104.88750000000002</v>
      </c>
      <c r="H30" s="40" t="s">
        <v>309</v>
      </c>
    </row>
    <row r="32" spans="1:12" ht="15" customHeight="1" x14ac:dyDescent="0.25">
      <c r="A32" s="5" t="s">
        <v>310</v>
      </c>
      <c r="B32" s="5"/>
      <c r="C32" s="5"/>
      <c r="D32" s="5"/>
      <c r="E32" s="5"/>
      <c r="F32" s="5"/>
      <c r="G32" s="5"/>
      <c r="H32" s="5"/>
      <c r="I32" s="5"/>
      <c r="J32" s="5"/>
      <c r="K32" s="5"/>
      <c r="L32" s="5"/>
    </row>
    <row r="34" spans="1:12" x14ac:dyDescent="0.25">
      <c r="B34" s="37" t="s">
        <v>95</v>
      </c>
      <c r="C34" s="16">
        <v>350</v>
      </c>
    </row>
    <row r="35" spans="1:12" ht="24" x14ac:dyDescent="0.25">
      <c r="B35" s="8" t="s">
        <v>297</v>
      </c>
      <c r="C35" s="8" t="s">
        <v>282</v>
      </c>
      <c r="D35" s="8" t="s">
        <v>283</v>
      </c>
      <c r="E35" s="8" t="s">
        <v>284</v>
      </c>
      <c r="F35" s="8" t="s">
        <v>311</v>
      </c>
      <c r="G35" s="8" t="s">
        <v>286</v>
      </c>
      <c r="H35" s="8" t="s">
        <v>287</v>
      </c>
    </row>
    <row r="36" spans="1:12" x14ac:dyDescent="0.25">
      <c r="B36" s="15" t="s">
        <v>312</v>
      </c>
      <c r="C36" s="32">
        <v>12</v>
      </c>
      <c r="D36" s="33">
        <v>0.35</v>
      </c>
      <c r="E36" s="33">
        <v>0.35</v>
      </c>
      <c r="F36" s="33">
        <v>0.3</v>
      </c>
      <c r="G36" s="24">
        <f>D36*E36*F36</f>
        <v>3.6749999999999991E-2</v>
      </c>
      <c r="H36" s="24">
        <f>G36*C36</f>
        <v>0.44099999999999989</v>
      </c>
    </row>
    <row r="37" spans="1:12" x14ac:dyDescent="0.25">
      <c r="B37" s="15" t="s">
        <v>313</v>
      </c>
      <c r="C37" s="32">
        <v>12</v>
      </c>
      <c r="D37" s="33">
        <v>0.15</v>
      </c>
      <c r="E37" s="33">
        <v>0.15</v>
      </c>
      <c r="F37" s="33">
        <v>0.55000000000000004</v>
      </c>
      <c r="G37" s="24">
        <f>D37*E37*F37</f>
        <v>1.2375000000000001E-2</v>
      </c>
      <c r="H37" s="24">
        <f>G37*C37</f>
        <v>0.14850000000000002</v>
      </c>
    </row>
    <row r="38" spans="1:12" ht="15" customHeight="1" x14ac:dyDescent="0.25">
      <c r="A38" s="2" t="s">
        <v>314</v>
      </c>
      <c r="B38" s="2"/>
      <c r="C38" s="2"/>
      <c r="D38" s="2"/>
      <c r="E38" s="2"/>
      <c r="F38" s="2"/>
      <c r="G38" s="34"/>
      <c r="H38" s="35">
        <f>H36+H37</f>
        <v>0.58949999999999991</v>
      </c>
      <c r="I38" s="34"/>
      <c r="J38" s="34"/>
      <c r="K38" s="34"/>
      <c r="L38" s="34"/>
    </row>
    <row r="39" spans="1:12" x14ac:dyDescent="0.25">
      <c r="B39" s="8" t="s">
        <v>303</v>
      </c>
      <c r="C39" s="8"/>
      <c r="D39" s="8"/>
      <c r="E39" s="8"/>
      <c r="F39" s="8"/>
      <c r="G39" s="8" t="s">
        <v>305</v>
      </c>
      <c r="H39" s="8" t="s">
        <v>67</v>
      </c>
    </row>
    <row r="40" spans="1:12" x14ac:dyDescent="0.25">
      <c r="B40" s="15" t="s">
        <v>197</v>
      </c>
      <c r="G40" s="20">
        <f>ROUNDUP(H38*C34/POIDS_SAC_CIMENT,0)</f>
        <v>5</v>
      </c>
      <c r="H40" s="40" t="s">
        <v>306</v>
      </c>
    </row>
    <row r="41" spans="1:12" x14ac:dyDescent="0.25">
      <c r="B41" s="15" t="s">
        <v>201</v>
      </c>
      <c r="G41" s="24">
        <f>H38*COEF_GRAVIER_VOL*DENSITE_GRAVIER</f>
        <v>0.75456000000000001</v>
      </c>
      <c r="H41" s="40" t="s">
        <v>307</v>
      </c>
    </row>
    <row r="42" spans="1:12" x14ac:dyDescent="0.25">
      <c r="B42" s="15" t="s">
        <v>199</v>
      </c>
      <c r="G42" s="24">
        <f>H38*COEF_SABLE_VOL*DENSITE_SABLE</f>
        <v>0.35369999999999996</v>
      </c>
      <c r="H42" s="40" t="s">
        <v>307</v>
      </c>
    </row>
    <row r="43" spans="1:12" x14ac:dyDescent="0.25">
      <c r="B43" s="15" t="s">
        <v>308</v>
      </c>
      <c r="G43" s="20">
        <f>H38*C34/EAU_PAR_DOSAGE</f>
        <v>103.16249999999998</v>
      </c>
      <c r="H43" s="40" t="s">
        <v>309</v>
      </c>
    </row>
    <row r="45" spans="1:12" ht="24" x14ac:dyDescent="0.25">
      <c r="B45" s="37" t="s">
        <v>315</v>
      </c>
    </row>
    <row r="46" spans="1:12" ht="36" x14ac:dyDescent="0.25">
      <c r="B46" s="8" t="s">
        <v>108</v>
      </c>
      <c r="C46" s="8" t="s">
        <v>316</v>
      </c>
      <c r="D46" s="8" t="s">
        <v>317</v>
      </c>
      <c r="E46" s="8" t="s">
        <v>318</v>
      </c>
      <c r="F46" s="8" t="s">
        <v>319</v>
      </c>
      <c r="G46" s="8" t="s">
        <v>320</v>
      </c>
      <c r="H46" s="8" t="s">
        <v>321</v>
      </c>
    </row>
    <row r="47" spans="1:12" x14ac:dyDescent="0.25">
      <c r="B47" s="32">
        <v>10</v>
      </c>
      <c r="C47" s="33">
        <v>0.15</v>
      </c>
      <c r="D47" s="20">
        <f>IF(D36=0,0,ROUNDUP(D36/C47+1,0))</f>
        <v>4</v>
      </c>
      <c r="E47" s="24">
        <f>D36-2*ENROBAGE+2*CROCHET</f>
        <v>0.51</v>
      </c>
      <c r="F47" s="24">
        <f>(B47/1000)*INDEX(TAB_NUANCE_COEF,MATCH(NUANCE_HA_DEFAUT,TAB_NUANCE_NOM,0))</f>
        <v>0.4</v>
      </c>
      <c r="G47" s="20">
        <f>IF(E47&lt;=LONG_BARRE_UTILE,ROUNDUP(D47*C36*2/MAX(1,INT(LONG_BARRE_UTILE/E47)),0),D47*C36*2+ROUNDUP(D47*C36*2/MAX(1,INT(LONG_BARRE_UTILE/(E47+F47-LONG_BARRE_UTILE))),0))</f>
        <v>5</v>
      </c>
      <c r="H47" s="21">
        <f>G47*LONG_BARRE_COMMERCIALE*IFERROR(INDEX(TAB_ACIER_POIDS,MATCH(B47,TAB_ACIER_DIAM,0)),0)</f>
        <v>37.019999999999996</v>
      </c>
    </row>
    <row r="48" spans="1:12" ht="15" customHeight="1" x14ac:dyDescent="0.25">
      <c r="A48" s="3" t="s">
        <v>322</v>
      </c>
      <c r="B48" s="3"/>
      <c r="C48" s="3"/>
      <c r="D48" s="3"/>
      <c r="E48" s="3"/>
      <c r="F48" s="3"/>
      <c r="G48" s="3"/>
      <c r="H48" s="3"/>
      <c r="I48" s="3"/>
      <c r="J48" s="3"/>
      <c r="K48" s="3"/>
      <c r="L48" s="3"/>
    </row>
    <row r="50" spans="1:12" ht="24" x14ac:dyDescent="0.25">
      <c r="B50" s="37" t="s">
        <v>323</v>
      </c>
    </row>
    <row r="51" spans="1:12" ht="36" x14ac:dyDescent="0.25">
      <c r="B51" s="8" t="s">
        <v>108</v>
      </c>
      <c r="C51" s="8" t="s">
        <v>324</v>
      </c>
      <c r="D51" s="8" t="s">
        <v>318</v>
      </c>
      <c r="E51" s="8" t="s">
        <v>319</v>
      </c>
      <c r="F51" s="8" t="s">
        <v>325</v>
      </c>
      <c r="G51" s="8" t="s">
        <v>320</v>
      </c>
      <c r="H51" s="8" t="s">
        <v>321</v>
      </c>
    </row>
    <row r="52" spans="1:12" x14ac:dyDescent="0.25">
      <c r="B52" s="32">
        <v>10</v>
      </c>
      <c r="C52" s="32">
        <v>4</v>
      </c>
      <c r="D52" s="24">
        <f>F37+F36+E52</f>
        <v>1.25</v>
      </c>
      <c r="E52" s="24">
        <f>(B52/1000)*INDEX(TAB_NUANCE_COEF,MATCH(NUANCE_HA_DEFAUT,TAB_NUANCE_NOM,0))</f>
        <v>0.4</v>
      </c>
      <c r="F52" s="20">
        <f>C52*C37</f>
        <v>48</v>
      </c>
      <c r="G52" s="20">
        <f>IF(D52&lt;=LONG_BARRE_UTILE,ROUNDUP(F52/MAX(1,INT(LONG_BARRE_UTILE/D52)),0),F52+ROUNDUP(F52/MAX(1,INT(LONG_BARRE_UTILE/(D52+E52-LONG_BARRE_UTILE))),0))</f>
        <v>6</v>
      </c>
      <c r="H52" s="21">
        <f>G52*LONG_BARRE_COMMERCIALE*IFERROR(INDEX(TAB_ACIER_POIDS,MATCH(B52,TAB_ACIER_DIAM,0)),0)</f>
        <v>44.423999999999999</v>
      </c>
    </row>
    <row r="53" spans="1:12" ht="15" customHeight="1" x14ac:dyDescent="0.25">
      <c r="A53" s="3" t="s">
        <v>326</v>
      </c>
      <c r="B53" s="3"/>
      <c r="C53" s="3"/>
      <c r="D53" s="3"/>
      <c r="E53" s="3"/>
      <c r="F53" s="3"/>
      <c r="G53" s="3"/>
      <c r="H53" s="3"/>
      <c r="I53" s="3"/>
      <c r="J53" s="3"/>
      <c r="K53" s="3"/>
      <c r="L53" s="3"/>
    </row>
    <row r="54" spans="1:12" x14ac:dyDescent="0.25">
      <c r="B54" s="15" t="s">
        <v>327</v>
      </c>
      <c r="C54" s="32">
        <v>8</v>
      </c>
      <c r="D54" s="33">
        <v>0.15</v>
      </c>
      <c r="E54" s="40" t="s">
        <v>328</v>
      </c>
    </row>
    <row r="55" spans="1:12" ht="36" x14ac:dyDescent="0.25">
      <c r="B55" s="8"/>
      <c r="C55" s="8" t="s">
        <v>108</v>
      </c>
      <c r="D55" s="8" t="s">
        <v>329</v>
      </c>
      <c r="E55" s="8" t="s">
        <v>330</v>
      </c>
      <c r="F55" s="8" t="s">
        <v>319</v>
      </c>
      <c r="G55" s="8" t="s">
        <v>320</v>
      </c>
      <c r="H55" s="8" t="s">
        <v>321</v>
      </c>
    </row>
    <row r="56" spans="1:12" x14ac:dyDescent="0.25">
      <c r="B56" s="36"/>
      <c r="C56" s="41">
        <f>C54</f>
        <v>8</v>
      </c>
      <c r="D56" s="20">
        <f>IF(F37=0,0,ROUNDUP(F37/D54+1,0))</f>
        <v>5</v>
      </c>
      <c r="E56" s="24">
        <f>((D37-2*ENROBAGE)+(E37-2*ENROBAGE))*2</f>
        <v>0.43999999999999995</v>
      </c>
      <c r="F56" s="24">
        <f>(C56/1000)*INDEX(TAB_NUANCE_COEF,MATCH(NUANCE_RL_DEFAUT,TAB_NUANCE_NOM,0))</f>
        <v>0.4</v>
      </c>
      <c r="G56" s="20">
        <f>IF(E56&lt;=LONG_BARRE_UTILE,ROUNDUP(D56*C37/MAX(1,INT(LONG_BARRE_UTILE/E56)),0),D56*C37+ROUNDUP(D56*C37/MAX(1,INT(LONG_BARRE_UTILE/(E56+F56-LONG_BARRE_UTILE))),0))</f>
        <v>3</v>
      </c>
      <c r="H56" s="21">
        <f>G56*LONG_BARRE_COMMERCIALE*IFERROR(INDEX(TAB_ACIER_POIDS,MATCH(C56,TAB_ACIER_DIAM,0)),0)</f>
        <v>14.22</v>
      </c>
    </row>
    <row r="57" spans="1:12" ht="24" x14ac:dyDescent="0.25">
      <c r="B57" s="15" t="s">
        <v>331</v>
      </c>
      <c r="G57" s="21">
        <f>(H47+H52+H56)*FIL_LIGATURE_PCT</f>
        <v>4.7831999999999999</v>
      </c>
      <c r="H57" s="40" t="s">
        <v>69</v>
      </c>
    </row>
    <row r="59" spans="1:12" x14ac:dyDescent="0.25">
      <c r="B59" s="37" t="s">
        <v>332</v>
      </c>
    </row>
    <row r="60" spans="1:12" x14ac:dyDescent="0.25">
      <c r="B60" s="8" t="s">
        <v>333</v>
      </c>
      <c r="C60" s="8" t="s">
        <v>304</v>
      </c>
      <c r="D60" s="8"/>
      <c r="E60" s="8"/>
      <c r="F60" s="8"/>
      <c r="G60" s="8" t="s">
        <v>269</v>
      </c>
      <c r="H60" s="8"/>
    </row>
    <row r="61" spans="1:12" ht="36" x14ac:dyDescent="0.25">
      <c r="B61" s="15" t="s">
        <v>334</v>
      </c>
      <c r="G61" s="24">
        <f>(D36*2+E36*2)*F36*C36+(D37*2+E37*2)*F37*C37</f>
        <v>9</v>
      </c>
    </row>
    <row r="62" spans="1:12" ht="24" x14ac:dyDescent="0.25">
      <c r="B62" s="15" t="s">
        <v>335</v>
      </c>
      <c r="G62" s="20">
        <f>ROUNDUP((G61/(PLANCHE_L*PLANCHE_LARGEUR))*MAJORATION_ACHAT,0)</f>
        <v>11</v>
      </c>
    </row>
    <row r="63" spans="1:12" x14ac:dyDescent="0.25">
      <c r="B63" s="15" t="s">
        <v>336</v>
      </c>
      <c r="G63" s="24">
        <f>G62*PLANCHE_L*PLANCHE_LARGEUR*PLANCHE_e</f>
        <v>0.49500000000000005</v>
      </c>
    </row>
    <row r="64" spans="1:12" ht="24" x14ac:dyDescent="0.25">
      <c r="B64" s="15" t="s">
        <v>337</v>
      </c>
      <c r="G64" s="24">
        <f>G63*TRAVERSES_PCT</f>
        <v>9.9000000000000019E-2</v>
      </c>
      <c r="H64" s="20">
        <f>ROUNDUP(G64/CHEVRON_TRAV_V1,0)</f>
        <v>8</v>
      </c>
      <c r="I64" s="40" t="s">
        <v>338</v>
      </c>
    </row>
    <row r="65" spans="1:12" ht="15" customHeight="1" x14ac:dyDescent="0.25">
      <c r="A65" s="2" t="s">
        <v>339</v>
      </c>
      <c r="B65" s="2"/>
      <c r="C65" s="2"/>
      <c r="D65" s="2"/>
      <c r="E65" s="2"/>
      <c r="F65" s="2"/>
      <c r="G65" s="35">
        <f>G63+G64</f>
        <v>0.59400000000000008</v>
      </c>
      <c r="H65" s="34"/>
      <c r="I65" s="34"/>
      <c r="J65" s="34"/>
      <c r="K65" s="34"/>
      <c r="L65" s="34"/>
    </row>
    <row r="66" spans="1:12" x14ac:dyDescent="0.25">
      <c r="B66" s="15" t="s">
        <v>340</v>
      </c>
      <c r="G66" s="21">
        <f>((G63/PLANCHE_e)+(G64/PLANCHE_e))*CLOUS_COFFRAGE_KGM2</f>
        <v>1.782</v>
      </c>
      <c r="H66" s="40" t="s">
        <v>69</v>
      </c>
    </row>
    <row r="68" spans="1:12" ht="15" customHeight="1" x14ac:dyDescent="0.25">
      <c r="A68" s="5" t="s">
        <v>341</v>
      </c>
      <c r="B68" s="5"/>
      <c r="C68" s="5"/>
      <c r="D68" s="5"/>
      <c r="E68" s="5"/>
      <c r="F68" s="5"/>
      <c r="G68" s="5"/>
      <c r="H68" s="5"/>
      <c r="I68" s="5"/>
      <c r="J68" s="5"/>
      <c r="K68" s="5"/>
      <c r="L68" s="5"/>
    </row>
    <row r="70" spans="1:12" x14ac:dyDescent="0.25">
      <c r="B70" s="37" t="s">
        <v>342</v>
      </c>
      <c r="C70" s="16">
        <v>250</v>
      </c>
    </row>
    <row r="71" spans="1:12" ht="24" x14ac:dyDescent="0.25">
      <c r="B71" s="8" t="s">
        <v>297</v>
      </c>
      <c r="C71" s="8"/>
      <c r="D71" s="8" t="s">
        <v>292</v>
      </c>
      <c r="E71" s="8" t="s">
        <v>311</v>
      </c>
      <c r="F71" s="8" t="s">
        <v>343</v>
      </c>
      <c r="G71" s="8"/>
      <c r="H71" s="8" t="s">
        <v>287</v>
      </c>
    </row>
    <row r="72" spans="1:12" x14ac:dyDescent="0.25">
      <c r="B72" s="15" t="s">
        <v>344</v>
      </c>
      <c r="C72" s="36"/>
      <c r="D72" s="39">
        <f>D15</f>
        <v>60.85</v>
      </c>
      <c r="E72" s="33">
        <v>0.6</v>
      </c>
      <c r="F72" s="33">
        <v>0.3</v>
      </c>
      <c r="G72" s="36"/>
      <c r="H72" s="24">
        <f>D72*E72*F72</f>
        <v>10.952999999999999</v>
      </c>
    </row>
    <row r="73" spans="1:12" x14ac:dyDescent="0.25">
      <c r="B73" s="8" t="s">
        <v>345</v>
      </c>
      <c r="C73" s="8"/>
      <c r="D73" s="8"/>
      <c r="E73" s="8"/>
      <c r="F73" s="8"/>
      <c r="G73" s="8" t="s">
        <v>305</v>
      </c>
      <c r="H73" s="8" t="s">
        <v>67</v>
      </c>
    </row>
    <row r="74" spans="1:12" x14ac:dyDescent="0.25">
      <c r="B74" s="15" t="s">
        <v>346</v>
      </c>
      <c r="G74" s="24">
        <f>H72*MOELLON_PCT_VOLUME*DENSITE_MOELLON</f>
        <v>12.267359999999998</v>
      </c>
      <c r="H74" s="40" t="s">
        <v>307</v>
      </c>
    </row>
    <row r="75" spans="1:12" ht="24" x14ac:dyDescent="0.25">
      <c r="B75" s="15" t="s">
        <v>347</v>
      </c>
      <c r="G75" s="24">
        <f>H72*(1-MOELLON_PCT_VOLUME)</f>
        <v>3.2859000000000003</v>
      </c>
      <c r="H75" s="40" t="s">
        <v>204</v>
      </c>
    </row>
    <row r="76" spans="1:12" x14ac:dyDescent="0.25">
      <c r="B76" s="15" t="s">
        <v>348</v>
      </c>
      <c r="G76" s="20">
        <f>ROUNDUP(G75*C70/POIDS_SAC_CIMENT,0)</f>
        <v>17</v>
      </c>
      <c r="H76" s="40" t="s">
        <v>306</v>
      </c>
    </row>
    <row r="77" spans="1:12" x14ac:dyDescent="0.25">
      <c r="B77" s="15" t="s">
        <v>349</v>
      </c>
      <c r="G77" s="24">
        <f>G75*COEF_SABLE_MORTIER*DENSITE_SABLE</f>
        <v>4.9288500000000006</v>
      </c>
      <c r="H77" s="40" t="s">
        <v>307</v>
      </c>
    </row>
    <row r="78" spans="1:12" x14ac:dyDescent="0.25">
      <c r="B78" s="15" t="s">
        <v>350</v>
      </c>
      <c r="G78" s="20">
        <f>(G76*POIDS_SAC_CIMENT)*RATIO_EAU_CIMENT_MORTIER</f>
        <v>425</v>
      </c>
      <c r="H78" s="40" t="s">
        <v>309</v>
      </c>
    </row>
    <row r="80" spans="1:12" ht="15" customHeight="1" x14ac:dyDescent="0.25">
      <c r="A80" s="5" t="s">
        <v>351</v>
      </c>
      <c r="B80" s="5"/>
      <c r="C80" s="5"/>
      <c r="D80" s="5"/>
      <c r="E80" s="5"/>
      <c r="F80" s="5"/>
      <c r="G80" s="5"/>
      <c r="H80" s="5"/>
      <c r="I80" s="5"/>
      <c r="J80" s="5"/>
      <c r="K80" s="5"/>
      <c r="L80" s="5"/>
    </row>
    <row r="82" spans="1:12" x14ac:dyDescent="0.25">
      <c r="B82" s="37" t="s">
        <v>95</v>
      </c>
      <c r="C82" s="16">
        <v>250</v>
      </c>
    </row>
    <row r="83" spans="1:12" ht="24" x14ac:dyDescent="0.25">
      <c r="B83" s="8" t="s">
        <v>297</v>
      </c>
      <c r="C83" s="8"/>
      <c r="D83" s="8" t="s">
        <v>292</v>
      </c>
      <c r="E83" s="8" t="s">
        <v>299</v>
      </c>
      <c r="F83" s="8" t="s">
        <v>284</v>
      </c>
      <c r="G83" s="8"/>
      <c r="H83" s="8" t="s">
        <v>287</v>
      </c>
    </row>
    <row r="84" spans="1:12" x14ac:dyDescent="0.25">
      <c r="B84" s="15" t="s">
        <v>352</v>
      </c>
      <c r="C84" s="36"/>
      <c r="D84" s="39">
        <f>D15</f>
        <v>60.85</v>
      </c>
      <c r="E84" s="38">
        <v>0.05</v>
      </c>
      <c r="F84" s="33">
        <v>0.4</v>
      </c>
      <c r="G84" s="36"/>
      <c r="H84" s="24">
        <f>D84*E84*F84</f>
        <v>1.2170000000000003</v>
      </c>
    </row>
    <row r="85" spans="1:12" x14ac:dyDescent="0.25">
      <c r="B85" s="15" t="s">
        <v>197</v>
      </c>
      <c r="G85" s="20">
        <f>ROUNDUP(H84*C82/POIDS_SAC_CIMENT,0)</f>
        <v>7</v>
      </c>
      <c r="H85" s="40" t="s">
        <v>306</v>
      </c>
    </row>
    <row r="86" spans="1:12" x14ac:dyDescent="0.25">
      <c r="B86" s="15" t="s">
        <v>201</v>
      </c>
      <c r="G86" s="24">
        <f>H84*COEF_GRAVIER_VOL*DENSITE_GRAVIER</f>
        <v>1.5577600000000005</v>
      </c>
      <c r="H86" s="40" t="s">
        <v>307</v>
      </c>
    </row>
    <row r="87" spans="1:12" x14ac:dyDescent="0.25">
      <c r="B87" s="15" t="s">
        <v>199</v>
      </c>
      <c r="G87" s="24">
        <f>H84*COEF_SABLE_VOL*DENSITE_SABLE</f>
        <v>0.73020000000000018</v>
      </c>
      <c r="H87" s="40" t="s">
        <v>307</v>
      </c>
    </row>
    <row r="88" spans="1:12" x14ac:dyDescent="0.25">
      <c r="B88" s="15" t="s">
        <v>308</v>
      </c>
      <c r="G88" s="20">
        <f>H84*C82/EAU_PAR_DOSAGE</f>
        <v>152.12500000000003</v>
      </c>
      <c r="H88" s="40" t="s">
        <v>309</v>
      </c>
    </row>
    <row r="89" spans="1:12" ht="24" x14ac:dyDescent="0.25">
      <c r="B89" s="15" t="s">
        <v>353</v>
      </c>
      <c r="G89" s="24">
        <f>D84*E84*2</f>
        <v>6.0850000000000009</v>
      </c>
      <c r="H89" s="40" t="s">
        <v>269</v>
      </c>
    </row>
    <row r="90" spans="1:12" x14ac:dyDescent="0.25">
      <c r="B90" s="15" t="s">
        <v>354</v>
      </c>
      <c r="G90" s="20">
        <f>ROUNDUP((G89/(PLANCHE_L*PLANCHE_LARGEUR))*MAJORATION_ACHAT,0)</f>
        <v>8</v>
      </c>
    </row>
    <row r="91" spans="1:12" x14ac:dyDescent="0.25">
      <c r="B91" s="15" t="s">
        <v>336</v>
      </c>
      <c r="G91" s="24">
        <f>G90*PLANCHE_L*PLANCHE_LARGEUR*PLANCHE_e</f>
        <v>0.36</v>
      </c>
    </row>
    <row r="92" spans="1:12" ht="24" x14ac:dyDescent="0.25">
      <c r="B92" s="15" t="s">
        <v>337</v>
      </c>
      <c r="G92" s="24">
        <f>G91*TRAVERSES_PCT</f>
        <v>7.1999999999999995E-2</v>
      </c>
      <c r="H92" s="20">
        <f>ROUNDUP(G92/CHEVRON_TRAV_V1,0)</f>
        <v>6</v>
      </c>
      <c r="I92" s="40" t="s">
        <v>338</v>
      </c>
    </row>
    <row r="93" spans="1:12" x14ac:dyDescent="0.25">
      <c r="B93" s="15" t="s">
        <v>355</v>
      </c>
      <c r="G93" s="24">
        <f>G91+G92</f>
        <v>0.432</v>
      </c>
      <c r="H93" s="40" t="s">
        <v>204</v>
      </c>
    </row>
    <row r="94" spans="1:12" x14ac:dyDescent="0.25">
      <c r="B94" s="15" t="s">
        <v>340</v>
      </c>
      <c r="G94" s="21">
        <f>((G91/PLANCHE_e)+(G92/PLANCHE_e))*CLOUS_COFFRAGE_KGM2</f>
        <v>1.2959999999999998</v>
      </c>
      <c r="H94" s="40" t="s">
        <v>69</v>
      </c>
    </row>
    <row r="96" spans="1:12" ht="15" customHeight="1" x14ac:dyDescent="0.25">
      <c r="A96" s="5" t="s">
        <v>356</v>
      </c>
      <c r="B96" s="5"/>
      <c r="C96" s="5"/>
      <c r="D96" s="5"/>
      <c r="E96" s="5"/>
      <c r="F96" s="5"/>
      <c r="G96" s="5"/>
      <c r="H96" s="5"/>
      <c r="I96" s="5"/>
      <c r="J96" s="5"/>
      <c r="K96" s="5"/>
      <c r="L96" s="5"/>
    </row>
    <row r="98" spans="1:12" x14ac:dyDescent="0.25">
      <c r="B98" s="37" t="s">
        <v>95</v>
      </c>
      <c r="C98" s="16">
        <v>250</v>
      </c>
    </row>
    <row r="99" spans="1:12" ht="24" x14ac:dyDescent="0.25">
      <c r="B99" s="8" t="s">
        <v>297</v>
      </c>
      <c r="C99" s="8"/>
      <c r="D99" s="8" t="s">
        <v>283</v>
      </c>
      <c r="E99" s="8" t="s">
        <v>284</v>
      </c>
      <c r="F99" s="8" t="s">
        <v>299</v>
      </c>
      <c r="G99" s="8"/>
      <c r="H99" s="8" t="s">
        <v>287</v>
      </c>
    </row>
    <row r="100" spans="1:12" ht="24" x14ac:dyDescent="0.25">
      <c r="B100" s="15" t="s">
        <v>357</v>
      </c>
      <c r="C100" s="36"/>
      <c r="D100" s="19">
        <v>9.65</v>
      </c>
      <c r="E100" s="19">
        <v>7.15</v>
      </c>
      <c r="F100" s="33">
        <v>0.1</v>
      </c>
      <c r="G100" s="36"/>
      <c r="H100" s="24">
        <f>D100*E100*F100</f>
        <v>6.8997500000000009</v>
      </c>
    </row>
    <row r="101" spans="1:12" x14ac:dyDescent="0.25">
      <c r="B101" s="15" t="s">
        <v>197</v>
      </c>
      <c r="G101" s="20">
        <f>ROUNDUP(H100*C98/POIDS_SAC_CIMENT,0)</f>
        <v>35</v>
      </c>
      <c r="H101" s="40" t="s">
        <v>306</v>
      </c>
    </row>
    <row r="102" spans="1:12" x14ac:dyDescent="0.25">
      <c r="B102" s="15" t="s">
        <v>201</v>
      </c>
      <c r="G102" s="24">
        <f>H100*COEF_GRAVIER_VOL*DENSITE_GRAVIER</f>
        <v>8.8316800000000022</v>
      </c>
      <c r="H102" s="40" t="s">
        <v>307</v>
      </c>
    </row>
    <row r="103" spans="1:12" x14ac:dyDescent="0.25">
      <c r="B103" s="15" t="s">
        <v>199</v>
      </c>
      <c r="G103" s="24">
        <f>H100*COEF_SABLE_VOL*DENSITE_SABLE</f>
        <v>4.1398500000000009</v>
      </c>
      <c r="H103" s="40" t="s">
        <v>307</v>
      </c>
    </row>
    <row r="104" spans="1:12" x14ac:dyDescent="0.25">
      <c r="B104" s="15" t="s">
        <v>308</v>
      </c>
      <c r="G104" s="20">
        <f>H100*C98/EAU_PAR_DOSAGE</f>
        <v>862.46875000000011</v>
      </c>
      <c r="H104" s="40" t="s">
        <v>309</v>
      </c>
    </row>
    <row r="106" spans="1:12" ht="15" customHeight="1" x14ac:dyDescent="0.25">
      <c r="A106" s="5" t="s">
        <v>358</v>
      </c>
      <c r="B106" s="5"/>
      <c r="C106" s="5"/>
      <c r="D106" s="5"/>
      <c r="E106" s="5"/>
      <c r="F106" s="5"/>
      <c r="G106" s="5"/>
      <c r="H106" s="5"/>
      <c r="I106" s="5"/>
      <c r="J106" s="5"/>
      <c r="K106" s="5"/>
      <c r="L106" s="5"/>
    </row>
    <row r="108" spans="1:12" ht="15" customHeight="1" x14ac:dyDescent="0.25">
      <c r="A108" s="3" t="s">
        <v>359</v>
      </c>
      <c r="B108" s="3"/>
      <c r="C108" s="3"/>
      <c r="D108" s="3"/>
      <c r="E108" s="3"/>
      <c r="F108" s="3"/>
      <c r="G108" s="3"/>
      <c r="H108" s="3"/>
      <c r="I108" s="3"/>
      <c r="J108" s="3"/>
      <c r="K108" s="3"/>
      <c r="L108" s="3"/>
    </row>
    <row r="109" spans="1:12" ht="36" x14ac:dyDescent="0.25">
      <c r="B109" s="8" t="s">
        <v>360</v>
      </c>
      <c r="C109" s="8"/>
      <c r="D109" s="8" t="s">
        <v>283</v>
      </c>
      <c r="E109" s="8" t="s">
        <v>284</v>
      </c>
      <c r="F109" s="8" t="s">
        <v>361</v>
      </c>
      <c r="G109" s="8"/>
      <c r="H109" s="8" t="s">
        <v>362</v>
      </c>
    </row>
    <row r="110" spans="1:12" x14ac:dyDescent="0.25">
      <c r="B110" s="15" t="s">
        <v>363</v>
      </c>
      <c r="C110" s="36"/>
      <c r="D110" s="33">
        <v>9.65</v>
      </c>
      <c r="E110" s="33">
        <v>7.15</v>
      </c>
      <c r="F110" s="33">
        <v>0.3</v>
      </c>
      <c r="G110" s="36"/>
      <c r="H110" s="24">
        <f>D110*E110*F110</f>
        <v>20.699249999999999</v>
      </c>
    </row>
    <row r="112" spans="1:12" x14ac:dyDescent="0.25">
      <c r="B112" s="8" t="s">
        <v>364</v>
      </c>
      <c r="C112" s="8"/>
      <c r="D112" s="8"/>
      <c r="E112" s="8"/>
      <c r="F112" s="8"/>
      <c r="G112" s="8" t="s">
        <v>204</v>
      </c>
      <c r="H112" s="8" t="s">
        <v>307</v>
      </c>
    </row>
    <row r="113" spans="1:12" ht="24" x14ac:dyDescent="0.25">
      <c r="B113" s="37" t="s">
        <v>365</v>
      </c>
      <c r="G113" s="42">
        <f>(H11+H15)*CT_TASSEMENT</f>
        <v>36.782850000000003</v>
      </c>
      <c r="H113" s="42">
        <f>G113*DENSITE_TERRE</f>
        <v>55.174275000000009</v>
      </c>
    </row>
    <row r="114" spans="1:12" ht="36" x14ac:dyDescent="0.25">
      <c r="B114" s="15" t="s">
        <v>366</v>
      </c>
      <c r="G114" s="24">
        <f>(G9-G36-G23-G37)*C9*CT_TASSEMENT</f>
        <v>4.9295999999999998</v>
      </c>
    </row>
    <row r="115" spans="1:12" ht="24" x14ac:dyDescent="0.25">
      <c r="B115" s="15" t="s">
        <v>367</v>
      </c>
      <c r="G115" s="24">
        <f>(H15-H24-H72)*CT_TASSEMENT</f>
        <v>15.029950000000003</v>
      </c>
    </row>
    <row r="116" spans="1:12" x14ac:dyDescent="0.25">
      <c r="B116" s="15" t="s">
        <v>368</v>
      </c>
      <c r="G116" s="24">
        <f>H110*CT_TASSEMENT</f>
        <v>26.909025</v>
      </c>
    </row>
    <row r="117" spans="1:12" x14ac:dyDescent="0.25">
      <c r="B117" s="37" t="s">
        <v>369</v>
      </c>
      <c r="G117" s="42">
        <f>MAX(0,G114)+MAX(0,G115)+G116</f>
        <v>46.868575000000007</v>
      </c>
      <c r="H117" s="42">
        <f>G117*DENSITE_TERRE</f>
        <v>70.302862500000003</v>
      </c>
    </row>
    <row r="118" spans="1:12" ht="15" customHeight="1" x14ac:dyDescent="0.25">
      <c r="A118" s="3" t="s">
        <v>370</v>
      </c>
      <c r="B118" s="3"/>
      <c r="C118" s="3"/>
      <c r="D118" s="3"/>
      <c r="E118" s="3"/>
      <c r="F118" s="3"/>
      <c r="G118" s="3"/>
      <c r="H118" s="3"/>
      <c r="I118" s="3"/>
      <c r="J118" s="3"/>
      <c r="K118" s="3"/>
      <c r="L118" s="3"/>
    </row>
    <row r="119" spans="1:12" ht="36" x14ac:dyDescent="0.25">
      <c r="B119" s="15" t="s">
        <v>371</v>
      </c>
      <c r="G119" s="24">
        <f>MAX(0,G113-G117)</f>
        <v>0</v>
      </c>
    </row>
    <row r="121" spans="1:12" ht="15" customHeight="1" x14ac:dyDescent="0.25">
      <c r="A121" s="5" t="s">
        <v>372</v>
      </c>
      <c r="B121" s="5"/>
      <c r="C121" s="5"/>
      <c r="D121" s="5"/>
      <c r="E121" s="5"/>
      <c r="F121" s="5"/>
      <c r="G121" s="5"/>
      <c r="H121" s="5"/>
      <c r="I121" s="5"/>
      <c r="J121" s="5"/>
      <c r="K121" s="5"/>
      <c r="L121" s="5"/>
    </row>
    <row r="123" spans="1:12" ht="20.85" customHeight="1" x14ac:dyDescent="0.25">
      <c r="A123" s="3" t="s">
        <v>373</v>
      </c>
      <c r="B123" s="3"/>
      <c r="C123" s="3"/>
      <c r="D123" s="3"/>
      <c r="E123" s="3"/>
      <c r="F123" s="3"/>
      <c r="G123" s="3"/>
      <c r="H123" s="3"/>
      <c r="I123" s="3"/>
      <c r="J123" s="3"/>
      <c r="K123" s="3"/>
      <c r="L123" s="3"/>
    </row>
    <row r="124" spans="1:12" x14ac:dyDescent="0.25">
      <c r="B124" s="37" t="s">
        <v>95</v>
      </c>
      <c r="C124" s="16">
        <v>350</v>
      </c>
    </row>
    <row r="125" spans="1:12" ht="24" x14ac:dyDescent="0.25">
      <c r="B125" s="8" t="s">
        <v>297</v>
      </c>
      <c r="C125" s="8" t="s">
        <v>292</v>
      </c>
      <c r="D125" s="8" t="s">
        <v>374</v>
      </c>
      <c r="E125" s="8" t="s">
        <v>375</v>
      </c>
      <c r="F125" s="8"/>
      <c r="G125" s="8" t="s">
        <v>376</v>
      </c>
      <c r="H125" s="8" t="s">
        <v>377</v>
      </c>
    </row>
    <row r="126" spans="1:12" x14ac:dyDescent="0.25">
      <c r="B126" s="15" t="s">
        <v>378</v>
      </c>
      <c r="C126" s="39">
        <f>D15</f>
        <v>60.85</v>
      </c>
      <c r="D126" s="33">
        <v>0.2</v>
      </c>
      <c r="E126" s="33">
        <v>0.3</v>
      </c>
      <c r="F126" s="36"/>
      <c r="G126" s="24">
        <f>C126*D126*E126</f>
        <v>3.6510000000000002</v>
      </c>
      <c r="H126" s="24">
        <f>G126-(C9*D37*E37*E126)</f>
        <v>3.5700000000000003</v>
      </c>
    </row>
    <row r="127" spans="1:12" ht="15" customHeight="1" x14ac:dyDescent="0.25">
      <c r="A127" s="3" t="s">
        <v>379</v>
      </c>
      <c r="B127" s="3"/>
      <c r="C127" s="3"/>
      <c r="D127" s="3"/>
      <c r="E127" s="3"/>
      <c r="F127" s="3"/>
      <c r="G127" s="3"/>
      <c r="H127" s="3"/>
      <c r="I127" s="3"/>
      <c r="J127" s="3"/>
      <c r="K127" s="3"/>
      <c r="L127" s="3"/>
    </row>
    <row r="128" spans="1:12" x14ac:dyDescent="0.25">
      <c r="B128" s="15" t="s">
        <v>197</v>
      </c>
      <c r="G128" s="20">
        <f>ROUNDUP(H126*C124/POIDS_SAC_CIMENT,0)</f>
        <v>25</v>
      </c>
      <c r="H128" s="40" t="s">
        <v>306</v>
      </c>
    </row>
    <row r="129" spans="2:9" x14ac:dyDescent="0.25">
      <c r="B129" s="15" t="s">
        <v>201</v>
      </c>
      <c r="G129" s="24">
        <f>H126*COEF_GRAVIER_VOL*DENSITE_GRAVIER</f>
        <v>4.5696000000000003</v>
      </c>
      <c r="H129" s="40" t="s">
        <v>307</v>
      </c>
    </row>
    <row r="130" spans="2:9" x14ac:dyDescent="0.25">
      <c r="B130" s="15" t="s">
        <v>199</v>
      </c>
      <c r="G130" s="24">
        <f>H126*COEF_SABLE_VOL*DENSITE_SABLE</f>
        <v>2.1420000000000003</v>
      </c>
      <c r="H130" s="40" t="s">
        <v>307</v>
      </c>
    </row>
    <row r="131" spans="2:9" x14ac:dyDescent="0.25">
      <c r="B131" s="15" t="s">
        <v>308</v>
      </c>
      <c r="G131" s="20">
        <f>H126*C124/EAU_PAR_DOSAGE</f>
        <v>624.75</v>
      </c>
      <c r="H131" s="40" t="s">
        <v>309</v>
      </c>
    </row>
    <row r="133" spans="2:9" ht="24" x14ac:dyDescent="0.25">
      <c r="B133" s="37" t="s">
        <v>380</v>
      </c>
    </row>
    <row r="134" spans="2:9" ht="36" x14ac:dyDescent="0.25">
      <c r="B134" s="8" t="s">
        <v>108</v>
      </c>
      <c r="C134" s="8" t="s">
        <v>381</v>
      </c>
      <c r="D134" s="8" t="s">
        <v>382</v>
      </c>
      <c r="E134" s="8" t="s">
        <v>319</v>
      </c>
      <c r="F134" s="8" t="s">
        <v>325</v>
      </c>
      <c r="G134" s="8" t="s">
        <v>320</v>
      </c>
      <c r="H134" s="8" t="s">
        <v>321</v>
      </c>
    </row>
    <row r="135" spans="2:9" x14ac:dyDescent="0.25">
      <c r="B135" s="32">
        <v>12</v>
      </c>
      <c r="C135" s="32">
        <v>4</v>
      </c>
      <c r="D135" s="39">
        <f>C126</f>
        <v>60.85</v>
      </c>
      <c r="E135" s="24">
        <f>(B135/1000)*INDEX(TAB_NUANCE_COEF,MATCH(NUANCE_HA_DEFAUT,TAB_NUANCE_NOM,0))</f>
        <v>0.48</v>
      </c>
      <c r="F135" s="20">
        <f>C135</f>
        <v>4</v>
      </c>
      <c r="G135" s="20">
        <f>IF(D135&lt;=LONG_BARRE_UTILE,ROUNDUP(F135/MAX(1,INT(LONG_BARRE_UTILE/D135)),0),F135+ROUNDUP(F135/MAX(1,INT(LONG_BARRE_UTILE/(D135+E135-LONG_BARRE_UTILE))),0))</f>
        <v>8</v>
      </c>
      <c r="H135" s="21">
        <f>G135*LONG_BARRE_COMMERCIALE*IFERROR(INDEX(TAB_ACIER_POIDS,MATCH(B135,TAB_ACIER_DIAM,0)),0)</f>
        <v>84.48</v>
      </c>
    </row>
    <row r="136" spans="2:9" x14ac:dyDescent="0.25">
      <c r="B136" s="15" t="s">
        <v>383</v>
      </c>
      <c r="C136" s="32">
        <v>6</v>
      </c>
      <c r="D136" s="33">
        <v>0.2</v>
      </c>
      <c r="E136" s="40" t="s">
        <v>328</v>
      </c>
    </row>
    <row r="137" spans="2:9" ht="24" x14ac:dyDescent="0.25">
      <c r="B137" s="8"/>
      <c r="C137" s="8" t="s">
        <v>108</v>
      </c>
      <c r="D137" s="8" t="s">
        <v>384</v>
      </c>
      <c r="E137" s="8" t="s">
        <v>330</v>
      </c>
      <c r="F137" s="8" t="s">
        <v>319</v>
      </c>
      <c r="G137" s="8" t="s">
        <v>320</v>
      </c>
      <c r="H137" s="8" t="s">
        <v>321</v>
      </c>
    </row>
    <row r="138" spans="2:9" x14ac:dyDescent="0.25">
      <c r="B138" s="36"/>
      <c r="C138" s="41">
        <f>C136</f>
        <v>6</v>
      </c>
      <c r="D138" s="20">
        <f>IF(C126=0,0,ROUNDUP(C126/D136+1,0))</f>
        <v>306</v>
      </c>
      <c r="E138" s="24">
        <f>((D126-2*ENROBAGE)+(E126-2*ENROBAGE))*2</f>
        <v>0.84000000000000008</v>
      </c>
      <c r="F138" s="24">
        <f>(C138/1000)*INDEX(TAB_NUANCE_COEF,MATCH(NUANCE_RL_DEFAUT,TAB_NUANCE_NOM,0))</f>
        <v>0.3</v>
      </c>
      <c r="G138" s="20">
        <f>IF(E138&lt;=LONG_BARRE_UTILE,ROUNDUP(D138/MAX(1,INT(LONG_BARRE_UTILE/E138)),0),D138+ROUNDUP(D138/MAX(1,INT(LONG_BARRE_UTILE/(E138+F138-LONG_BARRE_UTILE))),0))</f>
        <v>24</v>
      </c>
      <c r="H138" s="21">
        <f>G138*LONG_BARRE_COMMERCIALE*IFERROR(INDEX(TAB_ACIER_POIDS,MATCH(C138,TAB_ACIER_DIAM,0)),0)</f>
        <v>63.936</v>
      </c>
    </row>
    <row r="139" spans="2:9" x14ac:dyDescent="0.25">
      <c r="B139" s="15" t="s">
        <v>385</v>
      </c>
      <c r="G139" s="21">
        <f>(H135+H138)*FIL_LIGATURE_PCT</f>
        <v>7.4207999999999998</v>
      </c>
      <c r="H139" s="40" t="s">
        <v>69</v>
      </c>
    </row>
    <row r="140" spans="2:9" x14ac:dyDescent="0.25">
      <c r="B140" s="15" t="s">
        <v>386</v>
      </c>
      <c r="G140" s="24">
        <f>C126*E126*2</f>
        <v>36.51</v>
      </c>
      <c r="H140" s="40" t="s">
        <v>269</v>
      </c>
    </row>
    <row r="141" spans="2:9" x14ac:dyDescent="0.25">
      <c r="B141" s="15" t="s">
        <v>354</v>
      </c>
      <c r="G141" s="20">
        <f>ROUNDUP((G140/(PLANCHE_L*PLANCHE_LARGEUR))*MAJORATION_ACHAT,0)</f>
        <v>45</v>
      </c>
    </row>
    <row r="142" spans="2:9" x14ac:dyDescent="0.25">
      <c r="B142" s="15" t="s">
        <v>336</v>
      </c>
      <c r="G142" s="24">
        <f>G141*PLANCHE_L*PLANCHE_LARGEUR*PLANCHE_e</f>
        <v>2.0249999999999999</v>
      </c>
    </row>
    <row r="143" spans="2:9" ht="24" x14ac:dyDescent="0.25">
      <c r="B143" s="15" t="s">
        <v>337</v>
      </c>
      <c r="G143" s="24">
        <f>G142*TRAVERSES_PCT</f>
        <v>0.40500000000000003</v>
      </c>
      <c r="H143" s="20">
        <f>ROUNDUP(G143/CHEVRON_TRAV_V1,0)</f>
        <v>33</v>
      </c>
      <c r="I143" s="40" t="s">
        <v>338</v>
      </c>
    </row>
    <row r="144" spans="2:9" x14ac:dyDescent="0.25">
      <c r="B144" s="15" t="s">
        <v>355</v>
      </c>
      <c r="G144" s="24">
        <f>G142+G143</f>
        <v>2.4299999999999997</v>
      </c>
      <c r="H144" s="40" t="s">
        <v>204</v>
      </c>
    </row>
    <row r="145" spans="1:12" x14ac:dyDescent="0.25">
      <c r="B145" s="15" t="s">
        <v>340</v>
      </c>
      <c r="G145" s="21">
        <f>((G142/PLANCHE_e)+(G143/PLANCHE_e))*CLOUS_COFFRAGE_KGM2</f>
        <v>7.2899999999999991</v>
      </c>
      <c r="H145" s="40" t="s">
        <v>69</v>
      </c>
    </row>
    <row r="147" spans="1:12" ht="24" x14ac:dyDescent="0.25">
      <c r="B147" s="8" t="s">
        <v>387</v>
      </c>
      <c r="C147" s="8" t="s">
        <v>292</v>
      </c>
      <c r="D147" s="8" t="s">
        <v>311</v>
      </c>
      <c r="E147" s="8"/>
      <c r="F147" s="8"/>
      <c r="G147" s="8"/>
      <c r="H147" s="8" t="s">
        <v>388</v>
      </c>
    </row>
    <row r="148" spans="1:12" x14ac:dyDescent="0.25">
      <c r="B148" s="15" t="s">
        <v>389</v>
      </c>
      <c r="C148" s="39">
        <f>C126</f>
        <v>60.85</v>
      </c>
      <c r="D148" s="33">
        <v>0.6</v>
      </c>
      <c r="E148" s="36"/>
      <c r="F148" s="36"/>
      <c r="G148" s="36"/>
      <c r="H148" s="24">
        <f>C148*D148</f>
        <v>36.51</v>
      </c>
    </row>
    <row r="150" spans="1:12" ht="15" customHeight="1" x14ac:dyDescent="0.25">
      <c r="A150" s="5" t="s">
        <v>390</v>
      </c>
      <c r="B150" s="5"/>
      <c r="C150" s="5"/>
      <c r="D150" s="5"/>
      <c r="E150" s="5"/>
      <c r="F150" s="5"/>
      <c r="G150" s="5"/>
      <c r="H150" s="5"/>
      <c r="I150" s="5"/>
      <c r="J150" s="5"/>
      <c r="K150" s="5"/>
      <c r="L150" s="5"/>
    </row>
    <row r="152" spans="1:12" ht="15" customHeight="1" x14ac:dyDescent="0.25">
      <c r="A152" s="3" t="s">
        <v>391</v>
      </c>
      <c r="B152" s="3"/>
      <c r="C152" s="3"/>
      <c r="D152" s="3"/>
      <c r="E152" s="3"/>
      <c r="F152" s="3"/>
      <c r="G152" s="3"/>
      <c r="H152" s="3"/>
      <c r="I152" s="3"/>
      <c r="J152" s="3"/>
      <c r="K152" s="3"/>
      <c r="L152" s="3"/>
    </row>
    <row r="153" spans="1:12" x14ac:dyDescent="0.25">
      <c r="B153" s="8" t="s">
        <v>392</v>
      </c>
      <c r="C153" s="8" t="s">
        <v>393</v>
      </c>
      <c r="D153" s="8"/>
      <c r="E153" s="8"/>
      <c r="F153" s="8"/>
      <c r="G153" s="8" t="s">
        <v>394</v>
      </c>
      <c r="H153" s="8" t="s">
        <v>67</v>
      </c>
    </row>
    <row r="154" spans="1:12" x14ac:dyDescent="0.25">
      <c r="B154" s="15" t="s">
        <v>99</v>
      </c>
      <c r="C154" s="41">
        <f>C20</f>
        <v>150</v>
      </c>
      <c r="G154" s="24">
        <f>H25</f>
        <v>1.3985000000000003</v>
      </c>
      <c r="H154" s="40" t="s">
        <v>204</v>
      </c>
    </row>
    <row r="155" spans="1:12" ht="24" x14ac:dyDescent="0.25">
      <c r="B155" s="15" t="s">
        <v>395</v>
      </c>
      <c r="C155" s="41">
        <f>C34</f>
        <v>350</v>
      </c>
      <c r="G155" s="24">
        <f>H38</f>
        <v>0.58949999999999991</v>
      </c>
      <c r="H155" s="40" t="s">
        <v>204</v>
      </c>
    </row>
    <row r="156" spans="1:12" ht="24" x14ac:dyDescent="0.25">
      <c r="B156" s="15" t="s">
        <v>396</v>
      </c>
      <c r="C156" s="10" t="s">
        <v>397</v>
      </c>
      <c r="G156" s="24">
        <f>H72</f>
        <v>10.952999999999999</v>
      </c>
      <c r="H156" s="40" t="s">
        <v>204</v>
      </c>
    </row>
    <row r="157" spans="1:12" x14ac:dyDescent="0.25">
      <c r="B157" s="15" t="s">
        <v>352</v>
      </c>
      <c r="C157" s="41">
        <f>C82</f>
        <v>250</v>
      </c>
      <c r="G157" s="24">
        <f>H84</f>
        <v>1.2170000000000003</v>
      </c>
      <c r="H157" s="40" t="s">
        <v>204</v>
      </c>
    </row>
    <row r="158" spans="1:12" x14ac:dyDescent="0.25">
      <c r="B158" s="15" t="s">
        <v>398</v>
      </c>
      <c r="C158" s="41">
        <f>C98</f>
        <v>250</v>
      </c>
      <c r="G158" s="24">
        <f>H100</f>
        <v>6.8997500000000009</v>
      </c>
      <c r="H158" s="40" t="s">
        <v>204</v>
      </c>
    </row>
    <row r="159" spans="1:12" x14ac:dyDescent="0.25">
      <c r="B159" s="15" t="s">
        <v>399</v>
      </c>
      <c r="C159" s="10" t="s">
        <v>397</v>
      </c>
      <c r="G159" s="24">
        <f>G113</f>
        <v>36.782850000000003</v>
      </c>
      <c r="H159" s="40" t="s">
        <v>204</v>
      </c>
    </row>
    <row r="160" spans="1:12" x14ac:dyDescent="0.25">
      <c r="B160" s="15" t="s">
        <v>400</v>
      </c>
      <c r="C160" s="10" t="s">
        <v>397</v>
      </c>
      <c r="G160" s="24">
        <f>G117</f>
        <v>46.868575000000007</v>
      </c>
      <c r="H160" s="40" t="s">
        <v>204</v>
      </c>
    </row>
    <row r="161" spans="1:12" ht="24" x14ac:dyDescent="0.25">
      <c r="B161" s="15" t="s">
        <v>267</v>
      </c>
      <c r="C161" s="10" t="s">
        <v>397</v>
      </c>
      <c r="G161" s="24">
        <f>G119</f>
        <v>0</v>
      </c>
      <c r="H161" s="40" t="s">
        <v>204</v>
      </c>
    </row>
    <row r="162" spans="1:12" x14ac:dyDescent="0.25">
      <c r="B162" s="15" t="s">
        <v>263</v>
      </c>
      <c r="C162" s="10" t="s">
        <v>397</v>
      </c>
      <c r="G162" s="24">
        <f>H11</f>
        <v>4.5630000000000006</v>
      </c>
      <c r="H162" s="40" t="s">
        <v>204</v>
      </c>
    </row>
    <row r="163" spans="1:12" ht="24" x14ac:dyDescent="0.25">
      <c r="B163" s="15" t="s">
        <v>401</v>
      </c>
      <c r="C163" s="10" t="s">
        <v>397</v>
      </c>
      <c r="G163" s="24">
        <f>H15</f>
        <v>23.7315</v>
      </c>
      <c r="H163" s="40" t="s">
        <v>204</v>
      </c>
    </row>
    <row r="164" spans="1:12" ht="24" x14ac:dyDescent="0.25">
      <c r="B164" s="15" t="s">
        <v>402</v>
      </c>
      <c r="C164" s="41">
        <f>C124</f>
        <v>350</v>
      </c>
      <c r="G164" s="24">
        <f>H126</f>
        <v>3.5700000000000003</v>
      </c>
      <c r="H164" s="40" t="s">
        <v>204</v>
      </c>
    </row>
    <row r="165" spans="1:12" ht="24" x14ac:dyDescent="0.25">
      <c r="B165" s="15" t="s">
        <v>403</v>
      </c>
      <c r="C165" s="10" t="s">
        <v>397</v>
      </c>
      <c r="G165" s="24">
        <f>H148</f>
        <v>36.51</v>
      </c>
      <c r="H165" s="40" t="s">
        <v>269</v>
      </c>
    </row>
    <row r="167" spans="1:12" ht="15" customHeight="1" x14ac:dyDescent="0.25">
      <c r="A167" s="3" t="s">
        <v>404</v>
      </c>
      <c r="B167" s="3"/>
      <c r="C167" s="3"/>
      <c r="D167" s="3"/>
      <c r="E167" s="3"/>
      <c r="F167" s="3"/>
      <c r="G167" s="3"/>
      <c r="H167" s="3"/>
      <c r="I167" s="3"/>
      <c r="J167" s="3"/>
      <c r="K167" s="3"/>
      <c r="L167" s="3"/>
    </row>
    <row r="168" spans="1:12" ht="24" x14ac:dyDescent="0.25">
      <c r="B168" s="8" t="s">
        <v>195</v>
      </c>
      <c r="C168" s="8"/>
      <c r="D168" s="8"/>
      <c r="E168" s="8"/>
      <c r="F168" s="8"/>
      <c r="G168" s="8" t="s">
        <v>405</v>
      </c>
      <c r="H168" s="8" t="s">
        <v>67</v>
      </c>
    </row>
    <row r="169" spans="1:12" x14ac:dyDescent="0.25">
      <c r="B169" s="37" t="s">
        <v>197</v>
      </c>
      <c r="G169" s="23">
        <f>G27+G40+G76+G85+G101+G128</f>
        <v>94</v>
      </c>
      <c r="H169" s="40" t="s">
        <v>306</v>
      </c>
    </row>
    <row r="170" spans="1:12" x14ac:dyDescent="0.25">
      <c r="B170" s="37" t="s">
        <v>201</v>
      </c>
      <c r="G170" s="42">
        <f>G28+G41+G86+G102+G129</f>
        <v>17.503680000000003</v>
      </c>
      <c r="H170" s="40" t="s">
        <v>307</v>
      </c>
    </row>
    <row r="171" spans="1:12" x14ac:dyDescent="0.25">
      <c r="B171" s="37" t="s">
        <v>199</v>
      </c>
      <c r="G171" s="42">
        <f>G29+G42+G77+G87+G103+G130</f>
        <v>13.133700000000001</v>
      </c>
      <c r="H171" s="40" t="s">
        <v>307</v>
      </c>
    </row>
    <row r="172" spans="1:12" x14ac:dyDescent="0.25">
      <c r="B172" s="37" t="s">
        <v>308</v>
      </c>
      <c r="G172" s="23">
        <f>G30+G43+G78+G88+G104+G131</f>
        <v>2272.3937500000002</v>
      </c>
      <c r="H172" s="40" t="s">
        <v>309</v>
      </c>
    </row>
    <row r="173" spans="1:12" x14ac:dyDescent="0.25">
      <c r="B173" s="37" t="s">
        <v>202</v>
      </c>
      <c r="G173" s="42">
        <f>G74</f>
        <v>12.267359999999998</v>
      </c>
      <c r="H173" s="40" t="s">
        <v>307</v>
      </c>
    </row>
    <row r="174" spans="1:12" x14ac:dyDescent="0.25">
      <c r="B174" s="37" t="s">
        <v>406</v>
      </c>
      <c r="G174" s="23">
        <f>G62+G90+G141</f>
        <v>64</v>
      </c>
      <c r="H174" s="40" t="s">
        <v>407</v>
      </c>
    </row>
    <row r="175" spans="1:12" x14ac:dyDescent="0.25">
      <c r="B175" s="37" t="s">
        <v>408</v>
      </c>
      <c r="G175" s="23">
        <f>H64+H92+H143</f>
        <v>47</v>
      </c>
      <c r="H175" s="40" t="s">
        <v>407</v>
      </c>
    </row>
    <row r="176" spans="1:12" x14ac:dyDescent="0.25">
      <c r="B176" s="37" t="s">
        <v>409</v>
      </c>
      <c r="G176" s="42">
        <f>G65+G93+G144</f>
        <v>3.4559999999999995</v>
      </c>
      <c r="H176" s="40" t="s">
        <v>204</v>
      </c>
    </row>
    <row r="177" spans="1:12" x14ac:dyDescent="0.25">
      <c r="B177" s="37" t="s">
        <v>340</v>
      </c>
      <c r="G177" s="43">
        <f>G66+G94+G145</f>
        <v>10.367999999999999</v>
      </c>
      <c r="H177" s="40" t="s">
        <v>69</v>
      </c>
    </row>
    <row r="178" spans="1:12" x14ac:dyDescent="0.25">
      <c r="B178" s="37" t="s">
        <v>410</v>
      </c>
      <c r="G178" s="43">
        <f>G57+G139</f>
        <v>12.204000000000001</v>
      </c>
      <c r="H178" s="40" t="s">
        <v>69</v>
      </c>
    </row>
    <row r="180" spans="1:12" ht="15" customHeight="1" x14ac:dyDescent="0.25">
      <c r="A180" s="3" t="s">
        <v>411</v>
      </c>
      <c r="B180" s="3"/>
      <c r="C180" s="3"/>
      <c r="D180" s="3"/>
      <c r="E180" s="3"/>
      <c r="F180" s="3"/>
      <c r="G180" s="3"/>
      <c r="H180" s="3"/>
      <c r="I180" s="3"/>
      <c r="J180" s="3"/>
      <c r="K180" s="3"/>
      <c r="L180" s="3"/>
    </row>
    <row r="181" spans="1:12" ht="24" x14ac:dyDescent="0.25">
      <c r="B181" s="8" t="s">
        <v>297</v>
      </c>
      <c r="C181" s="8" t="s">
        <v>108</v>
      </c>
      <c r="D181" s="8"/>
      <c r="E181" s="8"/>
      <c r="F181" s="8"/>
      <c r="G181" s="8" t="s">
        <v>320</v>
      </c>
      <c r="H181" s="8" t="s">
        <v>321</v>
      </c>
    </row>
    <row r="182" spans="1:12" x14ac:dyDescent="0.25">
      <c r="B182" s="15" t="s">
        <v>412</v>
      </c>
      <c r="C182" s="41">
        <f>B47</f>
        <v>10</v>
      </c>
      <c r="G182" s="20">
        <f>G47</f>
        <v>5</v>
      </c>
      <c r="H182" s="21">
        <f>H47</f>
        <v>37.019999999999996</v>
      </c>
    </row>
    <row r="183" spans="1:12" x14ac:dyDescent="0.25">
      <c r="B183" s="15" t="s">
        <v>413</v>
      </c>
      <c r="C183" s="41">
        <f>B52</f>
        <v>10</v>
      </c>
      <c r="G183" s="20">
        <f>G52</f>
        <v>6</v>
      </c>
      <c r="H183" s="21">
        <f>H52</f>
        <v>44.423999999999999</v>
      </c>
    </row>
    <row r="184" spans="1:12" x14ac:dyDescent="0.25">
      <c r="B184" s="15" t="s">
        <v>327</v>
      </c>
      <c r="C184" s="41">
        <f>C56</f>
        <v>8</v>
      </c>
      <c r="G184" s="20">
        <f>G56</f>
        <v>3</v>
      </c>
      <c r="H184" s="21">
        <f>H56</f>
        <v>14.22</v>
      </c>
    </row>
    <row r="185" spans="1:12" x14ac:dyDescent="0.25">
      <c r="B185" s="15" t="s">
        <v>414</v>
      </c>
      <c r="C185" s="41">
        <f>B135</f>
        <v>12</v>
      </c>
      <c r="G185" s="20">
        <f>G135</f>
        <v>8</v>
      </c>
      <c r="H185" s="21">
        <f>H135</f>
        <v>84.48</v>
      </c>
    </row>
    <row r="186" spans="1:12" x14ac:dyDescent="0.25">
      <c r="B186" s="15" t="s">
        <v>415</v>
      </c>
      <c r="C186" s="41">
        <f>C138</f>
        <v>6</v>
      </c>
      <c r="G186" s="20">
        <f>G138</f>
        <v>24</v>
      </c>
      <c r="H186" s="21">
        <f>H138</f>
        <v>63.936</v>
      </c>
    </row>
    <row r="187" spans="1:12" ht="15" customHeight="1" x14ac:dyDescent="0.25">
      <c r="A187" s="2" t="s">
        <v>416</v>
      </c>
      <c r="B187" s="2"/>
      <c r="C187" s="2"/>
      <c r="D187" s="2"/>
      <c r="E187" s="2"/>
      <c r="F187" s="2"/>
      <c r="G187" s="34"/>
      <c r="H187" s="44">
        <f>H182+H183+H184+H185+H186</f>
        <v>244.08</v>
      </c>
      <c r="I187" s="34"/>
      <c r="J187" s="34"/>
      <c r="K187" s="34"/>
      <c r="L187" s="34"/>
    </row>
  </sheetData>
  <mergeCells count="30">
    <mergeCell ref="A150:L150"/>
    <mergeCell ref="A152:L152"/>
    <mergeCell ref="A167:L167"/>
    <mergeCell ref="A180:L180"/>
    <mergeCell ref="A187:F187"/>
    <mergeCell ref="A108:L108"/>
    <mergeCell ref="A118:L118"/>
    <mergeCell ref="A121:L121"/>
    <mergeCell ref="A123:L123"/>
    <mergeCell ref="A127:L127"/>
    <mergeCell ref="A65:F65"/>
    <mergeCell ref="A68:L68"/>
    <mergeCell ref="A80:L80"/>
    <mergeCell ref="A96:L96"/>
    <mergeCell ref="A106:L106"/>
    <mergeCell ref="C27:F27"/>
    <mergeCell ref="A32:L32"/>
    <mergeCell ref="A38:F38"/>
    <mergeCell ref="A48:L48"/>
    <mergeCell ref="A53:L53"/>
    <mergeCell ref="A13:L13"/>
    <mergeCell ref="A16:L16"/>
    <mergeCell ref="A18:L18"/>
    <mergeCell ref="A21:L21"/>
    <mergeCell ref="A25:F25"/>
    <mergeCell ref="A2:L2"/>
    <mergeCell ref="A3:L3"/>
    <mergeCell ref="A5:L5"/>
    <mergeCell ref="A7:L7"/>
    <mergeCell ref="A11:F1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48235"/>
  </sheetPr>
  <dimension ref="A2:L229"/>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baseColWidth="10" defaultColWidth="8.7109375" defaultRowHeight="15" x14ac:dyDescent="0.25"/>
  <cols>
    <col min="1" max="1" width="2" customWidth="1"/>
    <col min="2" max="2" width="34" customWidth="1"/>
    <col min="3" max="6" width="9" customWidth="1"/>
    <col min="7" max="12" width="11" customWidth="1"/>
  </cols>
  <sheetData>
    <row r="2" spans="1:12" ht="27.75" customHeight="1" x14ac:dyDescent="0.25">
      <c r="A2" s="7" t="s">
        <v>417</v>
      </c>
      <c r="B2" s="7"/>
      <c r="C2" s="7"/>
      <c r="D2" s="7"/>
      <c r="E2" s="7"/>
      <c r="F2" s="7"/>
      <c r="G2" s="7"/>
      <c r="H2" s="7"/>
      <c r="I2" s="7"/>
      <c r="J2" s="7"/>
      <c r="K2" s="7"/>
      <c r="L2" s="7"/>
    </row>
    <row r="3" spans="1:12" ht="15" customHeight="1" x14ac:dyDescent="0.25">
      <c r="A3" s="6" t="s">
        <v>418</v>
      </c>
      <c r="B3" s="6"/>
      <c r="C3" s="6"/>
      <c r="D3" s="6"/>
      <c r="E3" s="6"/>
      <c r="F3" s="6"/>
      <c r="G3" s="6"/>
      <c r="H3" s="6"/>
      <c r="I3" s="6"/>
      <c r="J3" s="6"/>
      <c r="K3" s="6"/>
      <c r="L3" s="6"/>
    </row>
    <row r="5" spans="1:12" ht="15" customHeight="1" x14ac:dyDescent="0.25">
      <c r="A5" s="3" t="s">
        <v>419</v>
      </c>
      <c r="B5" s="3"/>
      <c r="C5" s="3"/>
      <c r="D5" s="3"/>
      <c r="E5" s="3"/>
      <c r="F5" s="3"/>
      <c r="G5" s="3"/>
      <c r="H5" s="3"/>
      <c r="I5" s="3"/>
      <c r="J5" s="3"/>
      <c r="K5" s="3"/>
      <c r="L5" s="3"/>
    </row>
    <row r="7" spans="1:12" ht="15" customHeight="1" x14ac:dyDescent="0.25">
      <c r="A7" s="5" t="s">
        <v>420</v>
      </c>
      <c r="B7" s="5"/>
      <c r="C7" s="5"/>
      <c r="D7" s="5"/>
      <c r="E7" s="5"/>
      <c r="F7" s="5"/>
      <c r="G7" s="5"/>
      <c r="H7" s="5"/>
      <c r="I7" s="5"/>
      <c r="J7" s="5"/>
      <c r="K7" s="5"/>
      <c r="L7" s="5"/>
    </row>
    <row r="9" spans="1:12" x14ac:dyDescent="0.25">
      <c r="B9" s="37" t="s">
        <v>421</v>
      </c>
    </row>
    <row r="10" spans="1:12" x14ac:dyDescent="0.25">
      <c r="B10" s="15" t="s">
        <v>95</v>
      </c>
      <c r="C10" s="16">
        <v>350</v>
      </c>
    </row>
    <row r="11" spans="1:12" ht="24" x14ac:dyDescent="0.25">
      <c r="B11" s="8" t="s">
        <v>297</v>
      </c>
      <c r="C11" s="8" t="s">
        <v>282</v>
      </c>
      <c r="D11" s="8" t="s">
        <v>422</v>
      </c>
      <c r="E11" s="8" t="s">
        <v>423</v>
      </c>
      <c r="F11" s="8" t="s">
        <v>311</v>
      </c>
      <c r="G11" s="8" t="s">
        <v>286</v>
      </c>
      <c r="H11" s="8" t="s">
        <v>287</v>
      </c>
    </row>
    <row r="12" spans="1:12" x14ac:dyDescent="0.25">
      <c r="B12" s="15" t="s">
        <v>424</v>
      </c>
      <c r="C12" s="32">
        <v>12</v>
      </c>
      <c r="D12" s="33">
        <v>0.2</v>
      </c>
      <c r="E12" s="33">
        <v>0.2</v>
      </c>
      <c r="F12" s="33">
        <v>3</v>
      </c>
      <c r="G12" s="24">
        <f>D12*E12*F12</f>
        <v>0.12000000000000002</v>
      </c>
      <c r="H12" s="24">
        <f>G12*C12</f>
        <v>1.4400000000000004</v>
      </c>
    </row>
    <row r="13" spans="1:12" x14ac:dyDescent="0.25">
      <c r="B13" s="15" t="s">
        <v>197</v>
      </c>
      <c r="G13" s="20">
        <f>ROUNDUP(H12*C10/POIDS_SAC_CIMENT,0)</f>
        <v>11</v>
      </c>
      <c r="H13" s="40" t="s">
        <v>306</v>
      </c>
    </row>
    <row r="14" spans="1:12" x14ac:dyDescent="0.25">
      <c r="B14" s="15" t="s">
        <v>201</v>
      </c>
      <c r="G14" s="24">
        <f>H12*COEF_GRAVIER_VOL*DENSITE_GRAVIER</f>
        <v>1.8432000000000006</v>
      </c>
      <c r="H14" s="40" t="s">
        <v>307</v>
      </c>
    </row>
    <row r="15" spans="1:12" x14ac:dyDescent="0.25">
      <c r="B15" s="15" t="s">
        <v>199</v>
      </c>
      <c r="G15" s="24">
        <f>H12*COEF_SABLE_VOL*DENSITE_SABLE</f>
        <v>0.86400000000000032</v>
      </c>
      <c r="H15" s="40" t="s">
        <v>307</v>
      </c>
    </row>
    <row r="16" spans="1:12" x14ac:dyDescent="0.25">
      <c r="B16" s="15" t="s">
        <v>308</v>
      </c>
      <c r="G16" s="20">
        <f>H12*C10/EAU_PAR_DOSAGE</f>
        <v>252.00000000000006</v>
      </c>
      <c r="H16" s="40" t="s">
        <v>309</v>
      </c>
    </row>
    <row r="17" spans="2:9" x14ac:dyDescent="0.25">
      <c r="B17" s="15" t="s">
        <v>425</v>
      </c>
      <c r="C17" s="32">
        <v>12</v>
      </c>
      <c r="D17" s="32">
        <v>4</v>
      </c>
      <c r="E17" s="40" t="s">
        <v>426</v>
      </c>
    </row>
    <row r="18" spans="2:9" ht="24" x14ac:dyDescent="0.25">
      <c r="B18" s="8"/>
      <c r="C18" s="8" t="s">
        <v>427</v>
      </c>
      <c r="D18" s="8" t="s">
        <v>428</v>
      </c>
      <c r="E18" s="8" t="s">
        <v>319</v>
      </c>
      <c r="F18" s="8" t="s">
        <v>429</v>
      </c>
      <c r="G18" s="8" t="s">
        <v>320</v>
      </c>
      <c r="H18" s="8" t="s">
        <v>321</v>
      </c>
    </row>
    <row r="19" spans="2:9" x14ac:dyDescent="0.25">
      <c r="B19" s="36"/>
      <c r="C19" s="41">
        <f>C17</f>
        <v>12</v>
      </c>
      <c r="D19" s="24">
        <f>F12-2*ENROBAGE+E19</f>
        <v>3.44</v>
      </c>
      <c r="E19" s="24">
        <f>(C19/1000)*INDEX(TAB_NUANCE_COEF,MATCH(NUANCE_HA_DEFAUT,TAB_NUANCE_NOM,0))</f>
        <v>0.48</v>
      </c>
      <c r="F19" s="20">
        <f>D17*C12</f>
        <v>48</v>
      </c>
      <c r="G19" s="20">
        <f>IF(D19&lt;=LONG_BARRE_UTILE,ROUNDUP(F19/MAX(1,INT(LONG_BARRE_UTILE/D19)),0),F19+ROUNDUP(F19/MAX(1,INT(LONG_BARRE_UTILE/(D19+E19-LONG_BARRE_UTILE))),0))</f>
        <v>16</v>
      </c>
      <c r="H19" s="21">
        <f>G19*LONG_BARRE_COMMERCIALE*IFERROR(INDEX(TAB_ACIER_POIDS,MATCH(C19,TAB_ACIER_DIAM,0)),0)</f>
        <v>168.96</v>
      </c>
    </row>
    <row r="20" spans="2:9" x14ac:dyDescent="0.25">
      <c r="B20" s="15" t="s">
        <v>383</v>
      </c>
      <c r="C20" s="32">
        <v>8</v>
      </c>
      <c r="D20" s="33">
        <v>0.15</v>
      </c>
      <c r="E20" s="40" t="s">
        <v>328</v>
      </c>
    </row>
    <row r="21" spans="2:9" ht="24" x14ac:dyDescent="0.25">
      <c r="B21" s="8"/>
      <c r="C21" s="8" t="s">
        <v>427</v>
      </c>
      <c r="D21" s="8" t="s">
        <v>384</v>
      </c>
      <c r="E21" s="8" t="s">
        <v>430</v>
      </c>
      <c r="F21" s="8" t="s">
        <v>319</v>
      </c>
      <c r="G21" s="8" t="s">
        <v>320</v>
      </c>
      <c r="H21" s="8" t="s">
        <v>321</v>
      </c>
    </row>
    <row r="22" spans="2:9" x14ac:dyDescent="0.25">
      <c r="B22" s="36"/>
      <c r="C22" s="41">
        <f>C20</f>
        <v>8</v>
      </c>
      <c r="D22" s="20">
        <f>IF(F12=0,0,ROUNDUP(F12/D20+1,0))</f>
        <v>21</v>
      </c>
      <c r="E22" s="24">
        <f>((D12-2*ENROBAGE)+(E12-2*ENROBAGE))*2</f>
        <v>0.64</v>
      </c>
      <c r="F22" s="24">
        <f>(C22/1000)*INDEX(TAB_NUANCE_COEF,MATCH(NUANCE_RL_DEFAUT,TAB_NUANCE_NOM,0))</f>
        <v>0.4</v>
      </c>
      <c r="G22" s="20">
        <f>IF(E22&lt;=LONG_BARRE_UTILE,ROUNDUP(D22*C12/MAX(1,INT(LONG_BARRE_UTILE/E22)),0),D22*C12+ROUNDUP(D22*C12/MAX(1,INT(LONG_BARRE_UTILE/(E22+F22-LONG_BARRE_UTILE))),0))</f>
        <v>15</v>
      </c>
      <c r="H22" s="21">
        <f>G22*LONG_BARRE_COMMERCIALE*IFERROR(INDEX(TAB_ACIER_POIDS,MATCH(C22,TAB_ACIER_DIAM,0)),0)</f>
        <v>71.100000000000009</v>
      </c>
    </row>
    <row r="23" spans="2:9" x14ac:dyDescent="0.25">
      <c r="B23" s="15" t="s">
        <v>385</v>
      </c>
      <c r="G23" s="21">
        <f>(H19+H22)*FIL_LIGATURE_PCT</f>
        <v>12.003</v>
      </c>
      <c r="H23" s="40" t="s">
        <v>69</v>
      </c>
    </row>
    <row r="24" spans="2:9" x14ac:dyDescent="0.25">
      <c r="B24" s="15" t="s">
        <v>431</v>
      </c>
      <c r="G24" s="24">
        <f>(D12*2+E12*2)*F12*C12</f>
        <v>28.800000000000004</v>
      </c>
      <c r="H24" s="40" t="s">
        <v>269</v>
      </c>
    </row>
    <row r="25" spans="2:9" x14ac:dyDescent="0.25">
      <c r="B25" s="15" t="s">
        <v>354</v>
      </c>
      <c r="G25" s="20">
        <f>ROUNDUP((G24/(PLANCHE_L*PLANCHE_LARGEUR))*MAJORATION_ACHAT,0)</f>
        <v>36</v>
      </c>
    </row>
    <row r="26" spans="2:9" x14ac:dyDescent="0.25">
      <c r="B26" s="15" t="s">
        <v>336</v>
      </c>
      <c r="G26" s="24">
        <f>G25*PLANCHE_L*PLANCHE_LARGEUR*PLANCHE_e</f>
        <v>1.62</v>
      </c>
    </row>
    <row r="27" spans="2:9" x14ac:dyDescent="0.25">
      <c r="B27" s="15" t="s">
        <v>432</v>
      </c>
      <c r="G27" s="24">
        <f>G26*TRAVERSES_PCT</f>
        <v>0.32400000000000007</v>
      </c>
      <c r="H27" s="20">
        <f>ROUNDUP(G27/CHEVRON_TRAV_V1,0)</f>
        <v>26</v>
      </c>
      <c r="I27" s="40" t="s">
        <v>338</v>
      </c>
    </row>
    <row r="28" spans="2:9" x14ac:dyDescent="0.25">
      <c r="B28" s="15" t="s">
        <v>433</v>
      </c>
      <c r="G28" s="24">
        <f>G26+G27</f>
        <v>1.9440000000000002</v>
      </c>
      <c r="H28" s="40" t="s">
        <v>204</v>
      </c>
    </row>
    <row r="29" spans="2:9" x14ac:dyDescent="0.25">
      <c r="B29" s="15" t="s">
        <v>340</v>
      </c>
      <c r="G29" s="21">
        <f>((G26/PLANCHE_e)+(G27/PLANCHE_e))*CLOUS_COFFRAGE_KGM2</f>
        <v>5.8319999999999999</v>
      </c>
      <c r="H29" s="40" t="s">
        <v>69</v>
      </c>
    </row>
    <row r="31" spans="2:9" x14ac:dyDescent="0.25">
      <c r="B31" s="37" t="s">
        <v>434</v>
      </c>
    </row>
    <row r="32" spans="2:9" x14ac:dyDescent="0.25">
      <c r="B32" s="15" t="s">
        <v>95</v>
      </c>
      <c r="C32" s="16">
        <v>350</v>
      </c>
    </row>
    <row r="33" spans="2:8" ht="24" x14ac:dyDescent="0.25">
      <c r="B33" s="8" t="s">
        <v>297</v>
      </c>
      <c r="C33" s="8" t="s">
        <v>282</v>
      </c>
      <c r="D33" s="8" t="s">
        <v>422</v>
      </c>
      <c r="E33" s="8" t="s">
        <v>423</v>
      </c>
      <c r="F33" s="8" t="s">
        <v>311</v>
      </c>
      <c r="G33" s="8" t="s">
        <v>286</v>
      </c>
      <c r="H33" s="8" t="s">
        <v>287</v>
      </c>
    </row>
    <row r="34" spans="2:8" x14ac:dyDescent="0.25">
      <c r="B34" s="15" t="s">
        <v>424</v>
      </c>
      <c r="C34" s="32">
        <v>12</v>
      </c>
      <c r="D34" s="33">
        <v>0.2</v>
      </c>
      <c r="E34" s="33">
        <v>0.2</v>
      </c>
      <c r="F34" s="33">
        <v>2.8</v>
      </c>
      <c r="G34" s="24">
        <f>D34*E34*F34</f>
        <v>0.11200000000000002</v>
      </c>
      <c r="H34" s="24">
        <f>G34*C34</f>
        <v>1.3440000000000003</v>
      </c>
    </row>
    <row r="35" spans="2:8" x14ac:dyDescent="0.25">
      <c r="B35" s="15" t="s">
        <v>197</v>
      </c>
      <c r="G35" s="20">
        <f>ROUNDUP(H34*C32/POIDS_SAC_CIMENT,0)</f>
        <v>10</v>
      </c>
      <c r="H35" s="40" t="s">
        <v>306</v>
      </c>
    </row>
    <row r="36" spans="2:8" x14ac:dyDescent="0.25">
      <c r="B36" s="15" t="s">
        <v>201</v>
      </c>
      <c r="G36" s="24">
        <f>H34*COEF_GRAVIER_VOL*DENSITE_GRAVIER</f>
        <v>1.7203200000000007</v>
      </c>
      <c r="H36" s="40" t="s">
        <v>307</v>
      </c>
    </row>
    <row r="37" spans="2:8" x14ac:dyDescent="0.25">
      <c r="B37" s="15" t="s">
        <v>199</v>
      </c>
      <c r="G37" s="24">
        <f>H34*COEF_SABLE_VOL*DENSITE_SABLE</f>
        <v>0.80640000000000023</v>
      </c>
      <c r="H37" s="40" t="s">
        <v>307</v>
      </c>
    </row>
    <row r="38" spans="2:8" x14ac:dyDescent="0.25">
      <c r="B38" s="15" t="s">
        <v>308</v>
      </c>
      <c r="G38" s="20">
        <f>H34*C32/EAU_PAR_DOSAGE</f>
        <v>235.20000000000005</v>
      </c>
      <c r="H38" s="40" t="s">
        <v>309</v>
      </c>
    </row>
    <row r="39" spans="2:8" x14ac:dyDescent="0.25">
      <c r="B39" s="15" t="s">
        <v>425</v>
      </c>
      <c r="C39" s="32">
        <v>12</v>
      </c>
      <c r="D39" s="32">
        <v>4</v>
      </c>
      <c r="E39" s="40" t="s">
        <v>426</v>
      </c>
    </row>
    <row r="40" spans="2:8" ht="24" x14ac:dyDescent="0.25">
      <c r="B40" s="8"/>
      <c r="C40" s="8" t="s">
        <v>427</v>
      </c>
      <c r="D40" s="8" t="s">
        <v>428</v>
      </c>
      <c r="E40" s="8" t="s">
        <v>319</v>
      </c>
      <c r="F40" s="8" t="s">
        <v>429</v>
      </c>
      <c r="G40" s="8" t="s">
        <v>320</v>
      </c>
      <c r="H40" s="8" t="s">
        <v>321</v>
      </c>
    </row>
    <row r="41" spans="2:8" x14ac:dyDescent="0.25">
      <c r="B41" s="36"/>
      <c r="C41" s="41">
        <f>C39</f>
        <v>12</v>
      </c>
      <c r="D41" s="24">
        <f>F34-2*ENROBAGE+E41</f>
        <v>3.2399999999999998</v>
      </c>
      <c r="E41" s="24">
        <f>(C41/1000)*INDEX(TAB_NUANCE_COEF,MATCH(NUANCE_HA_DEFAUT,TAB_NUANCE_NOM,0))</f>
        <v>0.48</v>
      </c>
      <c r="F41" s="20">
        <f>D39*C34</f>
        <v>48</v>
      </c>
      <c r="G41" s="20">
        <f>IF(D41&lt;=LONG_BARRE_UTILE,ROUNDUP(F41/MAX(1,INT(LONG_BARRE_UTILE/D41)),0),F41+ROUNDUP(F41/MAX(1,INT(LONG_BARRE_UTILE/(D41+E41-LONG_BARRE_UTILE))),0))</f>
        <v>16</v>
      </c>
      <c r="H41" s="21">
        <f>G41*LONG_BARRE_COMMERCIALE*IFERROR(INDEX(TAB_ACIER_POIDS,MATCH(C41,TAB_ACIER_DIAM,0)),0)</f>
        <v>168.96</v>
      </c>
    </row>
    <row r="42" spans="2:8" x14ac:dyDescent="0.25">
      <c r="B42" s="15" t="s">
        <v>383</v>
      </c>
      <c r="C42" s="32">
        <v>8</v>
      </c>
      <c r="D42" s="33">
        <v>0.15</v>
      </c>
      <c r="E42" s="40" t="s">
        <v>328</v>
      </c>
    </row>
    <row r="43" spans="2:8" ht="24" x14ac:dyDescent="0.25">
      <c r="B43" s="8"/>
      <c r="C43" s="8" t="s">
        <v>427</v>
      </c>
      <c r="D43" s="8" t="s">
        <v>384</v>
      </c>
      <c r="E43" s="8" t="s">
        <v>430</v>
      </c>
      <c r="F43" s="8" t="s">
        <v>319</v>
      </c>
      <c r="G43" s="8" t="s">
        <v>320</v>
      </c>
      <c r="H43" s="8" t="s">
        <v>321</v>
      </c>
    </row>
    <row r="44" spans="2:8" x14ac:dyDescent="0.25">
      <c r="B44" s="36"/>
      <c r="C44" s="41">
        <f>C42</f>
        <v>8</v>
      </c>
      <c r="D44" s="20">
        <f>IF(F34=0,0,ROUNDUP(F34/D42+1,0))</f>
        <v>20</v>
      </c>
      <c r="E44" s="24">
        <f>((D34-2*ENROBAGE)+(E34-2*ENROBAGE))*2</f>
        <v>0.64</v>
      </c>
      <c r="F44" s="24">
        <f>(C44/1000)*INDEX(TAB_NUANCE_COEF,MATCH(NUANCE_RL_DEFAUT,TAB_NUANCE_NOM,0))</f>
        <v>0.4</v>
      </c>
      <c r="G44" s="20">
        <f>IF(E44&lt;=LONG_BARRE_UTILE,ROUNDUP(D44*C34/MAX(1,INT(LONG_BARRE_UTILE/E44)),0),D44*C34+ROUNDUP(D44*C34/MAX(1,INT(LONG_BARRE_UTILE/(E44+F44-LONG_BARRE_UTILE))),0))</f>
        <v>15</v>
      </c>
      <c r="H44" s="21">
        <f>G44*LONG_BARRE_COMMERCIALE*IFERROR(INDEX(TAB_ACIER_POIDS,MATCH(C44,TAB_ACIER_DIAM,0)),0)</f>
        <v>71.100000000000009</v>
      </c>
    </row>
    <row r="45" spans="2:8" x14ac:dyDescent="0.25">
      <c r="B45" s="15" t="s">
        <v>385</v>
      </c>
      <c r="G45" s="21">
        <f>(H41+H44)*FIL_LIGATURE_PCT</f>
        <v>12.003</v>
      </c>
      <c r="H45" s="40" t="s">
        <v>69</v>
      </c>
    </row>
    <row r="46" spans="2:8" x14ac:dyDescent="0.25">
      <c r="B46" s="15" t="s">
        <v>431</v>
      </c>
      <c r="G46" s="24">
        <f>(D34*2+E34*2)*F34*C34</f>
        <v>26.879999999999995</v>
      </c>
      <c r="H46" s="40" t="s">
        <v>269</v>
      </c>
    </row>
    <row r="47" spans="2:8" x14ac:dyDescent="0.25">
      <c r="B47" s="15" t="s">
        <v>354</v>
      </c>
      <c r="G47" s="20">
        <f>ROUNDUP((G46/(PLANCHE_L*PLANCHE_LARGEUR))*MAJORATION_ACHAT,0)</f>
        <v>33</v>
      </c>
    </row>
    <row r="48" spans="2:8" x14ac:dyDescent="0.25">
      <c r="B48" s="15" t="s">
        <v>336</v>
      </c>
      <c r="G48" s="24">
        <f>G47*PLANCHE_L*PLANCHE_LARGEUR*PLANCHE_e</f>
        <v>1.4850000000000001</v>
      </c>
    </row>
    <row r="49" spans="1:12" x14ac:dyDescent="0.25">
      <c r="B49" s="15" t="s">
        <v>432</v>
      </c>
      <c r="G49" s="24">
        <f>G48*TRAVERSES_PCT</f>
        <v>0.29700000000000004</v>
      </c>
      <c r="H49" s="20">
        <f>ROUNDUP(G49/CHEVRON_TRAV_V1,0)</f>
        <v>24</v>
      </c>
      <c r="I49" s="40" t="s">
        <v>338</v>
      </c>
    </row>
    <row r="50" spans="1:12" x14ac:dyDescent="0.25">
      <c r="B50" s="15" t="s">
        <v>433</v>
      </c>
      <c r="G50" s="24">
        <f>G48+G49</f>
        <v>1.782</v>
      </c>
      <c r="H50" s="40" t="s">
        <v>204</v>
      </c>
    </row>
    <row r="51" spans="1:12" x14ac:dyDescent="0.25">
      <c r="B51" s="15" t="s">
        <v>340</v>
      </c>
      <c r="G51" s="21">
        <f>((G48/PLANCHE_e)+(G49/PLANCHE_e))*CLOUS_COFFRAGE_KGM2</f>
        <v>5.3460000000000001</v>
      </c>
      <c r="H51" s="40" t="s">
        <v>69</v>
      </c>
    </row>
    <row r="53" spans="1:12" ht="15" customHeight="1" x14ac:dyDescent="0.25">
      <c r="A53" s="5" t="s">
        <v>435</v>
      </c>
      <c r="B53" s="5"/>
      <c r="C53" s="5"/>
      <c r="D53" s="5"/>
      <c r="E53" s="5"/>
      <c r="F53" s="5"/>
      <c r="G53" s="5"/>
      <c r="H53" s="5"/>
      <c r="I53" s="5"/>
      <c r="J53" s="5"/>
      <c r="K53" s="5"/>
      <c r="L53" s="5"/>
    </row>
    <row r="55" spans="1:12" ht="24" x14ac:dyDescent="0.25">
      <c r="B55" s="37" t="s">
        <v>436</v>
      </c>
    </row>
    <row r="56" spans="1:12" x14ac:dyDescent="0.25">
      <c r="B56" s="15" t="s">
        <v>95</v>
      </c>
      <c r="C56" s="16">
        <v>350</v>
      </c>
    </row>
    <row r="57" spans="1:12" ht="24" x14ac:dyDescent="0.25">
      <c r="B57" s="8" t="s">
        <v>297</v>
      </c>
      <c r="C57" s="8" t="s">
        <v>292</v>
      </c>
      <c r="D57" s="8" t="s">
        <v>374</v>
      </c>
      <c r="E57" s="8" t="s">
        <v>375</v>
      </c>
      <c r="F57" s="8"/>
      <c r="G57" s="8"/>
      <c r="H57" s="8" t="s">
        <v>362</v>
      </c>
    </row>
    <row r="58" spans="1:12" x14ac:dyDescent="0.25">
      <c r="B58" s="15" t="s">
        <v>437</v>
      </c>
      <c r="C58" s="19">
        <v>33.6</v>
      </c>
      <c r="D58" s="33">
        <v>0.15</v>
      </c>
      <c r="E58" s="33">
        <v>0.2</v>
      </c>
      <c r="F58" s="36"/>
      <c r="G58" s="36"/>
      <c r="H58" s="24">
        <f>C58*D58*E58</f>
        <v>1.008</v>
      </c>
    </row>
    <row r="59" spans="1:12" x14ac:dyDescent="0.25">
      <c r="B59" s="15" t="s">
        <v>197</v>
      </c>
      <c r="G59" s="20">
        <f>ROUNDUP(H58*C56/POIDS_SAC_CIMENT,0)</f>
        <v>8</v>
      </c>
      <c r="H59" s="40" t="s">
        <v>306</v>
      </c>
    </row>
    <row r="60" spans="1:12" x14ac:dyDescent="0.25">
      <c r="B60" s="15" t="s">
        <v>201</v>
      </c>
      <c r="G60" s="24">
        <f>H58*COEF_GRAVIER_VOL*DENSITE_GRAVIER</f>
        <v>1.2902400000000001</v>
      </c>
      <c r="H60" s="40" t="s">
        <v>307</v>
      </c>
    </row>
    <row r="61" spans="1:12" x14ac:dyDescent="0.25">
      <c r="B61" s="15" t="s">
        <v>199</v>
      </c>
      <c r="G61" s="24">
        <f>H58*COEF_SABLE_VOL*DENSITE_SABLE</f>
        <v>0.6048</v>
      </c>
      <c r="H61" s="40" t="s">
        <v>307</v>
      </c>
    </row>
    <row r="62" spans="1:12" x14ac:dyDescent="0.25">
      <c r="B62" s="15" t="s">
        <v>308</v>
      </c>
      <c r="G62" s="20">
        <f>H58*C56/EAU_PAR_DOSAGE</f>
        <v>176.4</v>
      </c>
      <c r="H62" s="40" t="s">
        <v>309</v>
      </c>
    </row>
    <row r="63" spans="1:12" x14ac:dyDescent="0.25">
      <c r="B63" s="15" t="s">
        <v>425</v>
      </c>
      <c r="C63" s="32">
        <v>12</v>
      </c>
      <c r="D63" s="32">
        <v>4</v>
      </c>
      <c r="E63" s="40" t="s">
        <v>438</v>
      </c>
    </row>
    <row r="64" spans="1:12" ht="24" x14ac:dyDescent="0.25">
      <c r="B64" s="8"/>
      <c r="C64" s="8" t="s">
        <v>427</v>
      </c>
      <c r="D64" s="8" t="s">
        <v>439</v>
      </c>
      <c r="E64" s="8" t="s">
        <v>319</v>
      </c>
      <c r="F64" s="8" t="s">
        <v>429</v>
      </c>
      <c r="G64" s="8" t="s">
        <v>320</v>
      </c>
      <c r="H64" s="8" t="s">
        <v>321</v>
      </c>
    </row>
    <row r="65" spans="2:9" x14ac:dyDescent="0.25">
      <c r="B65" s="36"/>
      <c r="C65" s="41">
        <f>C63</f>
        <v>12</v>
      </c>
      <c r="D65" s="39">
        <f>C58</f>
        <v>33.6</v>
      </c>
      <c r="E65" s="24">
        <f>(C65/1000)*INDEX(TAB_NUANCE_COEF,MATCH(NUANCE_HA_DEFAUT,TAB_NUANCE_NOM,0))</f>
        <v>0.48</v>
      </c>
      <c r="F65" s="20">
        <f>D63</f>
        <v>4</v>
      </c>
      <c r="G65" s="20">
        <f>IF(D65&lt;=LONG_BARRE_UTILE,ROUNDUP(F65/MAX(1,INT(LONG_BARRE_UTILE/D65)),0),F65+ROUNDUP(F65/MAX(1,INT(LONG_BARRE_UTILE/(D65+E65-LONG_BARRE_UTILE))),0))</f>
        <v>8</v>
      </c>
      <c r="H65" s="21">
        <f>G65*LONG_BARRE_COMMERCIALE*IFERROR(INDEX(TAB_ACIER_POIDS,MATCH(C65,TAB_ACIER_DIAM,0)),0)</f>
        <v>84.48</v>
      </c>
    </row>
    <row r="66" spans="2:9" x14ac:dyDescent="0.25">
      <c r="B66" s="15" t="s">
        <v>383</v>
      </c>
      <c r="C66" s="32">
        <v>6</v>
      </c>
      <c r="D66" s="33">
        <v>0.2</v>
      </c>
      <c r="E66" s="40" t="s">
        <v>328</v>
      </c>
    </row>
    <row r="67" spans="2:9" ht="24" x14ac:dyDescent="0.25">
      <c r="B67" s="8"/>
      <c r="C67" s="8" t="s">
        <v>427</v>
      </c>
      <c r="D67" s="8" t="s">
        <v>384</v>
      </c>
      <c r="E67" s="8" t="s">
        <v>430</v>
      </c>
      <c r="F67" s="8" t="s">
        <v>319</v>
      </c>
      <c r="G67" s="8" t="s">
        <v>320</v>
      </c>
      <c r="H67" s="8" t="s">
        <v>321</v>
      </c>
    </row>
    <row r="68" spans="2:9" x14ac:dyDescent="0.25">
      <c r="B68" s="36"/>
      <c r="C68" s="41">
        <f>C66</f>
        <v>6</v>
      </c>
      <c r="D68" s="20">
        <f>IF(C58=0,0,ROUNDUP(C58/D66+1,0))</f>
        <v>169</v>
      </c>
      <c r="E68" s="24">
        <f>((D58-2*ENROBAGE)+(E58-2*ENROBAGE))*2</f>
        <v>0.54</v>
      </c>
      <c r="F68" s="24">
        <f>(C68/1000)*INDEX(TAB_NUANCE_COEF,MATCH(NUANCE_RL_DEFAUT,TAB_NUANCE_NOM,0))</f>
        <v>0.3</v>
      </c>
      <c r="G68" s="20">
        <f>IF(E68&lt;=LONG_BARRE_UTILE,ROUNDUP(D68/MAX(1,INT(LONG_BARRE_UTILE/E68)),0),D68+ROUNDUP(D68/MAX(1,INT(LONG_BARRE_UTILE/(E68+F68-LONG_BARRE_UTILE))),0))</f>
        <v>9</v>
      </c>
      <c r="H68" s="21">
        <f>G68*LONG_BARRE_COMMERCIALE*IFERROR(INDEX(TAB_ACIER_POIDS,MATCH(C68,TAB_ACIER_DIAM,0)),0)</f>
        <v>23.975999999999999</v>
      </c>
    </row>
    <row r="69" spans="2:9" x14ac:dyDescent="0.25">
      <c r="B69" s="15" t="s">
        <v>385</v>
      </c>
      <c r="G69" s="21">
        <f>(H65+H68)*FIL_LIGATURE_PCT</f>
        <v>5.4228000000000005</v>
      </c>
      <c r="H69" s="40" t="s">
        <v>69</v>
      </c>
    </row>
    <row r="70" spans="2:9" x14ac:dyDescent="0.25">
      <c r="B70" s="15" t="s">
        <v>440</v>
      </c>
      <c r="G70" s="24">
        <f>C58*E58*2</f>
        <v>13.440000000000001</v>
      </c>
      <c r="H70" s="40" t="s">
        <v>269</v>
      </c>
    </row>
    <row r="71" spans="2:9" x14ac:dyDescent="0.25">
      <c r="B71" s="15" t="s">
        <v>354</v>
      </c>
      <c r="G71" s="20">
        <f>ROUNDUP((G70/(PLANCHE_L*PLANCHE_LARGEUR))*MAJORATION_ACHAT,0)</f>
        <v>17</v>
      </c>
    </row>
    <row r="72" spans="2:9" x14ac:dyDescent="0.25">
      <c r="B72" s="15" t="s">
        <v>336</v>
      </c>
      <c r="G72" s="24">
        <f>G71*PLANCHE_L*PLANCHE_LARGEUR*PLANCHE_e</f>
        <v>0.76500000000000001</v>
      </c>
    </row>
    <row r="73" spans="2:9" x14ac:dyDescent="0.25">
      <c r="B73" s="15" t="s">
        <v>432</v>
      </c>
      <c r="G73" s="24">
        <f>G72*TRAVERSES_PCT</f>
        <v>0.15300000000000002</v>
      </c>
      <c r="H73" s="20">
        <f>ROUNDUP(G73/CHEVRON_TRAV_V1,0)</f>
        <v>13</v>
      </c>
      <c r="I73" s="40" t="s">
        <v>338</v>
      </c>
    </row>
    <row r="74" spans="2:9" x14ac:dyDescent="0.25">
      <c r="B74" s="15" t="s">
        <v>433</v>
      </c>
      <c r="G74" s="24">
        <f>G72+G73</f>
        <v>0.91800000000000004</v>
      </c>
      <c r="H74" s="40" t="s">
        <v>204</v>
      </c>
    </row>
    <row r="75" spans="2:9" x14ac:dyDescent="0.25">
      <c r="B75" s="15" t="s">
        <v>340</v>
      </c>
      <c r="G75" s="21">
        <f>((G72/PLANCHE_e)+(G73/PLANCHE_e))*CLOUS_COFFRAGE_KGM2</f>
        <v>2.754</v>
      </c>
      <c r="H75" s="40" t="s">
        <v>69</v>
      </c>
    </row>
    <row r="77" spans="2:9" ht="24" x14ac:dyDescent="0.25">
      <c r="B77" s="37" t="s">
        <v>441</v>
      </c>
    </row>
    <row r="78" spans="2:9" x14ac:dyDescent="0.25">
      <c r="B78" s="15" t="s">
        <v>95</v>
      </c>
      <c r="C78" s="16">
        <v>350</v>
      </c>
    </row>
    <row r="79" spans="2:9" ht="24" x14ac:dyDescent="0.25">
      <c r="B79" s="8" t="s">
        <v>297</v>
      </c>
      <c r="C79" s="8" t="s">
        <v>292</v>
      </c>
      <c r="D79" s="8" t="s">
        <v>374</v>
      </c>
      <c r="E79" s="8" t="s">
        <v>375</v>
      </c>
      <c r="F79" s="8"/>
      <c r="G79" s="8"/>
      <c r="H79" s="8" t="s">
        <v>362</v>
      </c>
    </row>
    <row r="80" spans="2:9" x14ac:dyDescent="0.25">
      <c r="B80" s="15" t="s">
        <v>437</v>
      </c>
      <c r="C80" s="19">
        <v>33.6</v>
      </c>
      <c r="D80" s="33">
        <v>0.15</v>
      </c>
      <c r="E80" s="33">
        <v>0.2</v>
      </c>
      <c r="F80" s="36"/>
      <c r="G80" s="36"/>
      <c r="H80" s="24">
        <f>C80*D80*E80</f>
        <v>1.008</v>
      </c>
    </row>
    <row r="81" spans="2:9" x14ac:dyDescent="0.25">
      <c r="B81" s="15" t="s">
        <v>197</v>
      </c>
      <c r="G81" s="20">
        <f>ROUNDUP(H80*C78/POIDS_SAC_CIMENT,0)</f>
        <v>8</v>
      </c>
      <c r="H81" s="40" t="s">
        <v>306</v>
      </c>
    </row>
    <row r="82" spans="2:9" x14ac:dyDescent="0.25">
      <c r="B82" s="15" t="s">
        <v>201</v>
      </c>
      <c r="G82" s="24">
        <f>H80*COEF_GRAVIER_VOL*DENSITE_GRAVIER</f>
        <v>1.2902400000000001</v>
      </c>
      <c r="H82" s="40" t="s">
        <v>307</v>
      </c>
    </row>
    <row r="83" spans="2:9" x14ac:dyDescent="0.25">
      <c r="B83" s="15" t="s">
        <v>199</v>
      </c>
      <c r="G83" s="24">
        <f>H80*COEF_SABLE_VOL*DENSITE_SABLE</f>
        <v>0.6048</v>
      </c>
      <c r="H83" s="40" t="s">
        <v>307</v>
      </c>
    </row>
    <row r="84" spans="2:9" x14ac:dyDescent="0.25">
      <c r="B84" s="15" t="s">
        <v>308</v>
      </c>
      <c r="G84" s="20">
        <f>H80*C78/EAU_PAR_DOSAGE</f>
        <v>176.4</v>
      </c>
      <c r="H84" s="40" t="s">
        <v>309</v>
      </c>
    </row>
    <row r="85" spans="2:9" x14ac:dyDescent="0.25">
      <c r="B85" s="15" t="s">
        <v>425</v>
      </c>
      <c r="C85" s="32">
        <v>12</v>
      </c>
      <c r="D85" s="32">
        <v>4</v>
      </c>
      <c r="E85" s="40" t="s">
        <v>438</v>
      </c>
    </row>
    <row r="86" spans="2:9" ht="24" x14ac:dyDescent="0.25">
      <c r="B86" s="8"/>
      <c r="C86" s="8" t="s">
        <v>427</v>
      </c>
      <c r="D86" s="8" t="s">
        <v>439</v>
      </c>
      <c r="E86" s="8" t="s">
        <v>319</v>
      </c>
      <c r="F86" s="8" t="s">
        <v>429</v>
      </c>
      <c r="G86" s="8" t="s">
        <v>320</v>
      </c>
      <c r="H86" s="8" t="s">
        <v>321</v>
      </c>
    </row>
    <row r="87" spans="2:9" x14ac:dyDescent="0.25">
      <c r="B87" s="36"/>
      <c r="C87" s="41">
        <f>C85</f>
        <v>12</v>
      </c>
      <c r="D87" s="39">
        <f>C80</f>
        <v>33.6</v>
      </c>
      <c r="E87" s="24">
        <f>(C87/1000)*INDEX(TAB_NUANCE_COEF,MATCH(NUANCE_HA_DEFAUT,TAB_NUANCE_NOM,0))</f>
        <v>0.48</v>
      </c>
      <c r="F87" s="20">
        <f>D85</f>
        <v>4</v>
      </c>
      <c r="G87" s="20">
        <f>IF(D87&lt;=LONG_BARRE_UTILE,ROUNDUP(F87/MAX(1,INT(LONG_BARRE_UTILE/D87)),0),F87+ROUNDUP(F87/MAX(1,INT(LONG_BARRE_UTILE/(D87+E87-LONG_BARRE_UTILE))),0))</f>
        <v>8</v>
      </c>
      <c r="H87" s="21">
        <f>G87*LONG_BARRE_COMMERCIALE*IFERROR(INDEX(TAB_ACIER_POIDS,MATCH(C87,TAB_ACIER_DIAM,0)),0)</f>
        <v>84.48</v>
      </c>
    </row>
    <row r="88" spans="2:9" x14ac:dyDescent="0.25">
      <c r="B88" s="15" t="s">
        <v>383</v>
      </c>
      <c r="C88" s="32">
        <v>6</v>
      </c>
      <c r="D88" s="33">
        <v>0.2</v>
      </c>
      <c r="E88" s="40" t="s">
        <v>328</v>
      </c>
    </row>
    <row r="89" spans="2:9" ht="24" x14ac:dyDescent="0.25">
      <c r="B89" s="8"/>
      <c r="C89" s="8" t="s">
        <v>427</v>
      </c>
      <c r="D89" s="8" t="s">
        <v>384</v>
      </c>
      <c r="E89" s="8" t="s">
        <v>430</v>
      </c>
      <c r="F89" s="8" t="s">
        <v>319</v>
      </c>
      <c r="G89" s="8" t="s">
        <v>320</v>
      </c>
      <c r="H89" s="8" t="s">
        <v>321</v>
      </c>
    </row>
    <row r="90" spans="2:9" x14ac:dyDescent="0.25">
      <c r="B90" s="36"/>
      <c r="C90" s="41">
        <f>C88</f>
        <v>6</v>
      </c>
      <c r="D90" s="20">
        <f>IF(C80=0,0,ROUNDUP(C80/D88+1,0))</f>
        <v>169</v>
      </c>
      <c r="E90" s="24">
        <f>((D80-2*ENROBAGE)+(E80-2*ENROBAGE))*2</f>
        <v>0.54</v>
      </c>
      <c r="F90" s="24">
        <f>(C90/1000)*INDEX(TAB_NUANCE_COEF,MATCH(NUANCE_RL_DEFAUT,TAB_NUANCE_NOM,0))</f>
        <v>0.3</v>
      </c>
      <c r="G90" s="20">
        <f>IF(E90&lt;=LONG_BARRE_UTILE,ROUNDUP(D90/MAX(1,INT(LONG_BARRE_UTILE/E90)),0),D90+ROUNDUP(D90/MAX(1,INT(LONG_BARRE_UTILE/(E90+F90-LONG_BARRE_UTILE))),0))</f>
        <v>9</v>
      </c>
      <c r="H90" s="21">
        <f>G90*LONG_BARRE_COMMERCIALE*IFERROR(INDEX(TAB_ACIER_POIDS,MATCH(C90,TAB_ACIER_DIAM,0)),0)</f>
        <v>23.975999999999999</v>
      </c>
    </row>
    <row r="91" spans="2:9" x14ac:dyDescent="0.25">
      <c r="B91" s="15" t="s">
        <v>385</v>
      </c>
      <c r="G91" s="21">
        <f>(H87+H90)*FIL_LIGATURE_PCT</f>
        <v>5.4228000000000005</v>
      </c>
      <c r="H91" s="40" t="s">
        <v>69</v>
      </c>
    </row>
    <row r="92" spans="2:9" x14ac:dyDescent="0.25">
      <c r="B92" s="15" t="s">
        <v>440</v>
      </c>
      <c r="G92" s="24">
        <f>C80*E80*2</f>
        <v>13.440000000000001</v>
      </c>
      <c r="H92" s="40" t="s">
        <v>269</v>
      </c>
    </row>
    <row r="93" spans="2:9" x14ac:dyDescent="0.25">
      <c r="B93" s="15" t="s">
        <v>354</v>
      </c>
      <c r="G93" s="20">
        <f>ROUNDUP((G92/(PLANCHE_L*PLANCHE_LARGEUR))*MAJORATION_ACHAT,0)</f>
        <v>17</v>
      </c>
    </row>
    <row r="94" spans="2:9" x14ac:dyDescent="0.25">
      <c r="B94" s="15" t="s">
        <v>336</v>
      </c>
      <c r="G94" s="24">
        <f>G93*PLANCHE_L*PLANCHE_LARGEUR*PLANCHE_e</f>
        <v>0.76500000000000001</v>
      </c>
    </row>
    <row r="95" spans="2:9" x14ac:dyDescent="0.25">
      <c r="B95" s="15" t="s">
        <v>432</v>
      </c>
      <c r="G95" s="24">
        <f>G94*TRAVERSES_PCT</f>
        <v>0.15300000000000002</v>
      </c>
      <c r="H95" s="20">
        <f>ROUNDUP(G95/CHEVRON_TRAV_V1,0)</f>
        <v>13</v>
      </c>
      <c r="I95" s="40" t="s">
        <v>338</v>
      </c>
    </row>
    <row r="96" spans="2:9" x14ac:dyDescent="0.25">
      <c r="B96" s="15" t="s">
        <v>433</v>
      </c>
      <c r="G96" s="24">
        <f>G94+G95</f>
        <v>0.91800000000000004</v>
      </c>
      <c r="H96" s="40" t="s">
        <v>204</v>
      </c>
    </row>
    <row r="97" spans="1:12" x14ac:dyDescent="0.25">
      <c r="B97" s="15" t="s">
        <v>340</v>
      </c>
      <c r="G97" s="21">
        <f>((G94/PLANCHE_e)+(G95/PLANCHE_e))*CLOUS_COFFRAGE_KGM2</f>
        <v>2.754</v>
      </c>
      <c r="H97" s="40" t="s">
        <v>69</v>
      </c>
    </row>
    <row r="99" spans="1:12" ht="15" customHeight="1" x14ac:dyDescent="0.25">
      <c r="A99" s="5" t="s">
        <v>442</v>
      </c>
      <c r="B99" s="5"/>
      <c r="C99" s="5"/>
      <c r="D99" s="5"/>
      <c r="E99" s="5"/>
      <c r="F99" s="5"/>
      <c r="G99" s="5"/>
      <c r="H99" s="5"/>
      <c r="I99" s="5"/>
      <c r="J99" s="5"/>
      <c r="K99" s="5"/>
      <c r="L99" s="5"/>
    </row>
    <row r="101" spans="1:12" x14ac:dyDescent="0.25">
      <c r="B101" s="37" t="s">
        <v>443</v>
      </c>
    </row>
    <row r="102" spans="1:12" x14ac:dyDescent="0.25">
      <c r="B102" s="15" t="s">
        <v>95</v>
      </c>
      <c r="C102" s="16">
        <v>350</v>
      </c>
    </row>
    <row r="103" spans="1:12" ht="24" x14ac:dyDescent="0.25">
      <c r="B103" s="8" t="s">
        <v>297</v>
      </c>
      <c r="C103" s="8" t="s">
        <v>282</v>
      </c>
      <c r="D103" s="8" t="s">
        <v>444</v>
      </c>
      <c r="E103" s="8" t="s">
        <v>284</v>
      </c>
      <c r="F103" s="8" t="s">
        <v>311</v>
      </c>
      <c r="G103" s="8" t="s">
        <v>286</v>
      </c>
      <c r="H103" s="8" t="s">
        <v>287</v>
      </c>
    </row>
    <row r="104" spans="1:12" x14ac:dyDescent="0.25">
      <c r="B104" s="15" t="s">
        <v>445</v>
      </c>
      <c r="C104" s="32">
        <v>9</v>
      </c>
      <c r="D104" s="33">
        <v>1.4</v>
      </c>
      <c r="E104" s="33">
        <v>0.15</v>
      </c>
      <c r="F104" s="33">
        <v>0.15</v>
      </c>
      <c r="G104" s="24">
        <f>D104*E104*F104</f>
        <v>3.15E-2</v>
      </c>
      <c r="H104" s="24">
        <f>G104*C104</f>
        <v>0.28349999999999997</v>
      </c>
    </row>
    <row r="105" spans="1:12" x14ac:dyDescent="0.25">
      <c r="B105" s="15" t="s">
        <v>197</v>
      </c>
      <c r="G105" s="20">
        <f>ROUNDUP(H104*C102/POIDS_SAC_CIMENT,0)</f>
        <v>2</v>
      </c>
      <c r="H105" s="40" t="s">
        <v>306</v>
      </c>
    </row>
    <row r="106" spans="1:12" x14ac:dyDescent="0.25">
      <c r="B106" s="15" t="s">
        <v>201</v>
      </c>
      <c r="G106" s="24">
        <f>H104*COEF_GRAVIER_VOL*DENSITE_GRAVIER</f>
        <v>0.36288000000000004</v>
      </c>
      <c r="H106" s="40" t="s">
        <v>307</v>
      </c>
    </row>
    <row r="107" spans="1:12" x14ac:dyDescent="0.25">
      <c r="B107" s="15" t="s">
        <v>199</v>
      </c>
      <c r="G107" s="24">
        <f>H104*COEF_SABLE_VOL*DENSITE_SABLE</f>
        <v>0.1701</v>
      </c>
      <c r="H107" s="40" t="s">
        <v>307</v>
      </c>
    </row>
    <row r="108" spans="1:12" x14ac:dyDescent="0.25">
      <c r="B108" s="15" t="s">
        <v>308</v>
      </c>
      <c r="G108" s="20">
        <f>H104*C102/EAU_PAR_DOSAGE</f>
        <v>49.612499999999997</v>
      </c>
      <c r="H108" s="40" t="s">
        <v>309</v>
      </c>
    </row>
    <row r="109" spans="1:12" x14ac:dyDescent="0.25">
      <c r="B109" s="15" t="s">
        <v>446</v>
      </c>
      <c r="C109" s="32">
        <v>10</v>
      </c>
      <c r="D109" s="32">
        <v>2</v>
      </c>
      <c r="E109" s="40" t="s">
        <v>438</v>
      </c>
    </row>
    <row r="110" spans="1:12" ht="24" x14ac:dyDescent="0.25">
      <c r="B110" s="8"/>
      <c r="C110" s="8" t="s">
        <v>427</v>
      </c>
      <c r="D110" s="8" t="s">
        <v>428</v>
      </c>
      <c r="E110" s="8" t="s">
        <v>319</v>
      </c>
      <c r="F110" s="8" t="s">
        <v>429</v>
      </c>
      <c r="G110" s="8" t="s">
        <v>320</v>
      </c>
      <c r="H110" s="8" t="s">
        <v>321</v>
      </c>
    </row>
    <row r="111" spans="1:12" x14ac:dyDescent="0.25">
      <c r="B111" s="36"/>
      <c r="C111" s="41">
        <f>C109</f>
        <v>10</v>
      </c>
      <c r="D111" s="24">
        <f>D104-2*ENROBAGE</f>
        <v>1.3599999999999999</v>
      </c>
      <c r="E111" s="24">
        <f>(C111/1000)*INDEX(TAB_NUANCE_COEF,MATCH(NUANCE_HA_DEFAUT,TAB_NUANCE_NOM,0))</f>
        <v>0.4</v>
      </c>
      <c r="F111" s="20">
        <f>D109*C104</f>
        <v>18</v>
      </c>
      <c r="G111" s="20">
        <f>IF(D111&lt;=LONG_BARRE_UTILE,ROUNDUP(F111/MAX(1,INT(LONG_BARRE_UTILE/D111)),0),F111+ROUNDUP(F111/MAX(1,INT(LONG_BARRE_UTILE/(D111+E111-LONG_BARRE_UTILE))),0))</f>
        <v>3</v>
      </c>
      <c r="H111" s="21">
        <f>G111*LONG_BARRE_COMMERCIALE*IFERROR(INDEX(TAB_ACIER_POIDS,MATCH(C111,TAB_ACIER_DIAM,0)),0)</f>
        <v>22.212</v>
      </c>
    </row>
    <row r="112" spans="1:12" x14ac:dyDescent="0.25">
      <c r="B112" s="15" t="s">
        <v>385</v>
      </c>
      <c r="G112" s="21">
        <f>(H111)*FIL_LIGATURE_PCT</f>
        <v>1.1106</v>
      </c>
      <c r="H112" s="40" t="s">
        <v>69</v>
      </c>
    </row>
    <row r="113" spans="2:8" x14ac:dyDescent="0.25">
      <c r="B113" s="15" t="s">
        <v>447</v>
      </c>
      <c r="G113" s="24">
        <f>(E104*2+F104)*D104*C104</f>
        <v>5.669999999999999</v>
      </c>
      <c r="H113" s="40" t="s">
        <v>269</v>
      </c>
    </row>
    <row r="114" spans="2:8" x14ac:dyDescent="0.25">
      <c r="B114" s="15" t="s">
        <v>354</v>
      </c>
      <c r="G114" s="20">
        <f>ROUNDUP((G113/(PLANCHE_L*PLANCHE_LARGEUR))*MAJORATION_ACHAT,0)</f>
        <v>7</v>
      </c>
    </row>
    <row r="115" spans="2:8" ht="24" x14ac:dyDescent="0.25">
      <c r="B115" s="15" t="s">
        <v>448</v>
      </c>
      <c r="G115" s="24">
        <f>G114*PLANCHE_L*PLANCHE_LARGEUR*PLANCHE_e*(1+TRAVERSES_PCT)</f>
        <v>0.378</v>
      </c>
      <c r="H115" s="40" t="s">
        <v>204</v>
      </c>
    </row>
    <row r="116" spans="2:8" x14ac:dyDescent="0.25">
      <c r="B116" s="15" t="s">
        <v>340</v>
      </c>
      <c r="G116" s="21">
        <f>(G115/PLANCHE_e)*CLOUS_COFFRAGE_KGM2</f>
        <v>1.1339999999999999</v>
      </c>
      <c r="H116" s="40" t="s">
        <v>69</v>
      </c>
    </row>
    <row r="118" spans="2:8" x14ac:dyDescent="0.25">
      <c r="B118" s="37" t="s">
        <v>449</v>
      </c>
    </row>
    <row r="119" spans="2:8" x14ac:dyDescent="0.25">
      <c r="B119" s="15" t="s">
        <v>95</v>
      </c>
      <c r="C119" s="16">
        <v>350</v>
      </c>
    </row>
    <row r="120" spans="2:8" ht="24" x14ac:dyDescent="0.25">
      <c r="B120" s="8" t="s">
        <v>297</v>
      </c>
      <c r="C120" s="8" t="s">
        <v>282</v>
      </c>
      <c r="D120" s="8" t="s">
        <v>444</v>
      </c>
      <c r="E120" s="8" t="s">
        <v>284</v>
      </c>
      <c r="F120" s="8" t="s">
        <v>311</v>
      </c>
      <c r="G120" s="8" t="s">
        <v>286</v>
      </c>
      <c r="H120" s="8" t="s">
        <v>287</v>
      </c>
    </row>
    <row r="121" spans="2:8" x14ac:dyDescent="0.25">
      <c r="B121" s="15" t="s">
        <v>445</v>
      </c>
      <c r="C121" s="32">
        <v>9</v>
      </c>
      <c r="D121" s="33">
        <v>1.4</v>
      </c>
      <c r="E121" s="33">
        <v>0.15</v>
      </c>
      <c r="F121" s="33">
        <v>0.15</v>
      </c>
      <c r="G121" s="24">
        <f>D121*E121*F121</f>
        <v>3.15E-2</v>
      </c>
      <c r="H121" s="24">
        <f>G121*C121</f>
        <v>0.28349999999999997</v>
      </c>
    </row>
    <row r="122" spans="2:8" x14ac:dyDescent="0.25">
      <c r="B122" s="15" t="s">
        <v>197</v>
      </c>
      <c r="G122" s="20">
        <f>ROUNDUP(H121*C119/POIDS_SAC_CIMENT,0)</f>
        <v>2</v>
      </c>
      <c r="H122" s="40" t="s">
        <v>306</v>
      </c>
    </row>
    <row r="123" spans="2:8" x14ac:dyDescent="0.25">
      <c r="B123" s="15" t="s">
        <v>201</v>
      </c>
      <c r="G123" s="24">
        <f>H121*COEF_GRAVIER_VOL*DENSITE_GRAVIER</f>
        <v>0.36288000000000004</v>
      </c>
      <c r="H123" s="40" t="s">
        <v>307</v>
      </c>
    </row>
    <row r="124" spans="2:8" x14ac:dyDescent="0.25">
      <c r="B124" s="15" t="s">
        <v>199</v>
      </c>
      <c r="G124" s="24">
        <f>H121*COEF_SABLE_VOL*DENSITE_SABLE</f>
        <v>0.1701</v>
      </c>
      <c r="H124" s="40" t="s">
        <v>307</v>
      </c>
    </row>
    <row r="125" spans="2:8" x14ac:dyDescent="0.25">
      <c r="B125" s="15" t="s">
        <v>308</v>
      </c>
      <c r="G125" s="20">
        <f>H121*C119/EAU_PAR_DOSAGE</f>
        <v>49.612499999999997</v>
      </c>
      <c r="H125" s="40" t="s">
        <v>309</v>
      </c>
    </row>
    <row r="126" spans="2:8" x14ac:dyDescent="0.25">
      <c r="B126" s="15" t="s">
        <v>446</v>
      </c>
      <c r="C126" s="32">
        <v>10</v>
      </c>
      <c r="D126" s="32">
        <v>2</v>
      </c>
      <c r="E126" s="40" t="s">
        <v>438</v>
      </c>
    </row>
    <row r="127" spans="2:8" ht="24" x14ac:dyDescent="0.25">
      <c r="B127" s="8"/>
      <c r="C127" s="8" t="s">
        <v>427</v>
      </c>
      <c r="D127" s="8" t="s">
        <v>428</v>
      </c>
      <c r="E127" s="8" t="s">
        <v>319</v>
      </c>
      <c r="F127" s="8" t="s">
        <v>429</v>
      </c>
      <c r="G127" s="8" t="s">
        <v>320</v>
      </c>
      <c r="H127" s="8" t="s">
        <v>321</v>
      </c>
    </row>
    <row r="128" spans="2:8" x14ac:dyDescent="0.25">
      <c r="B128" s="36"/>
      <c r="C128" s="41">
        <f>C126</f>
        <v>10</v>
      </c>
      <c r="D128" s="24">
        <f>D121-2*ENROBAGE</f>
        <v>1.3599999999999999</v>
      </c>
      <c r="E128" s="24">
        <f>(C128/1000)*INDEX(TAB_NUANCE_COEF,MATCH(NUANCE_HA_DEFAUT,TAB_NUANCE_NOM,0))</f>
        <v>0.4</v>
      </c>
      <c r="F128" s="20">
        <f>D126*C121</f>
        <v>18</v>
      </c>
      <c r="G128" s="20">
        <f>IF(D128&lt;=LONG_BARRE_UTILE,ROUNDUP(F128/MAX(1,INT(LONG_BARRE_UTILE/D128)),0),F128+ROUNDUP(F128/MAX(1,INT(LONG_BARRE_UTILE/(D128+E128-LONG_BARRE_UTILE))),0))</f>
        <v>3</v>
      </c>
      <c r="H128" s="21">
        <f>G128*LONG_BARRE_COMMERCIALE*IFERROR(INDEX(TAB_ACIER_POIDS,MATCH(C128,TAB_ACIER_DIAM,0)),0)</f>
        <v>22.212</v>
      </c>
    </row>
    <row r="129" spans="1:12" x14ac:dyDescent="0.25">
      <c r="B129" s="15" t="s">
        <v>385</v>
      </c>
      <c r="G129" s="21">
        <f>(H128)*FIL_LIGATURE_PCT</f>
        <v>1.1106</v>
      </c>
      <c r="H129" s="40" t="s">
        <v>69</v>
      </c>
    </row>
    <row r="130" spans="1:12" x14ac:dyDescent="0.25">
      <c r="B130" s="15" t="s">
        <v>447</v>
      </c>
      <c r="G130" s="24">
        <f>(E121*2+F121)*D121*C121</f>
        <v>5.669999999999999</v>
      </c>
      <c r="H130" s="40" t="s">
        <v>269</v>
      </c>
    </row>
    <row r="131" spans="1:12" x14ac:dyDescent="0.25">
      <c r="B131" s="15" t="s">
        <v>354</v>
      </c>
      <c r="G131" s="20">
        <f>ROUNDUP((G130/(PLANCHE_L*PLANCHE_LARGEUR))*MAJORATION_ACHAT,0)</f>
        <v>7</v>
      </c>
    </row>
    <row r="132" spans="1:12" ht="24" x14ac:dyDescent="0.25">
      <c r="B132" s="15" t="s">
        <v>448</v>
      </c>
      <c r="G132" s="24">
        <f>G131*PLANCHE_L*PLANCHE_LARGEUR*PLANCHE_e*(1+TRAVERSES_PCT)</f>
        <v>0.378</v>
      </c>
      <c r="H132" s="40" t="s">
        <v>204</v>
      </c>
    </row>
    <row r="133" spans="1:12" x14ac:dyDescent="0.25">
      <c r="B133" s="15" t="s">
        <v>340</v>
      </c>
      <c r="G133" s="21">
        <f>(G132/PLANCHE_e)*CLOUS_COFFRAGE_KGM2</f>
        <v>1.1339999999999999</v>
      </c>
      <c r="H133" s="40" t="s">
        <v>69</v>
      </c>
    </row>
    <row r="135" spans="1:12" ht="15" customHeight="1" x14ac:dyDescent="0.25">
      <c r="A135" s="5" t="s">
        <v>450</v>
      </c>
      <c r="B135" s="5"/>
      <c r="C135" s="5"/>
      <c r="D135" s="5"/>
      <c r="E135" s="5"/>
      <c r="F135" s="5"/>
      <c r="G135" s="5"/>
      <c r="H135" s="5"/>
      <c r="I135" s="5"/>
      <c r="J135" s="5"/>
      <c r="K135" s="5"/>
      <c r="L135" s="5"/>
    </row>
    <row r="137" spans="1:12" ht="15" customHeight="1" x14ac:dyDescent="0.25">
      <c r="A137" s="3" t="s">
        <v>451</v>
      </c>
      <c r="B137" s="3"/>
      <c r="C137" s="3"/>
      <c r="D137" s="3"/>
      <c r="E137" s="3"/>
      <c r="F137" s="3"/>
      <c r="G137" s="3"/>
      <c r="H137" s="3"/>
      <c r="I137" s="3"/>
      <c r="J137" s="3"/>
      <c r="K137" s="3"/>
      <c r="L137" s="3"/>
    </row>
    <row r="138" spans="1:12" x14ac:dyDescent="0.25">
      <c r="B138" s="15" t="s">
        <v>95</v>
      </c>
      <c r="C138" s="16">
        <v>350</v>
      </c>
    </row>
    <row r="139" spans="1:12" x14ac:dyDescent="0.25">
      <c r="B139" s="8" t="s">
        <v>297</v>
      </c>
      <c r="C139" s="8"/>
      <c r="D139" s="8"/>
      <c r="E139" s="8"/>
      <c r="F139" s="8"/>
      <c r="G139" s="8"/>
      <c r="H139" s="8" t="s">
        <v>362</v>
      </c>
    </row>
    <row r="140" spans="1:12" ht="24" x14ac:dyDescent="0.25">
      <c r="B140" s="15" t="s">
        <v>452</v>
      </c>
      <c r="C140" s="36"/>
      <c r="D140" s="36"/>
      <c r="E140" s="36"/>
      <c r="F140" s="36"/>
      <c r="G140" s="36"/>
      <c r="H140" s="19">
        <v>3.5</v>
      </c>
    </row>
    <row r="141" spans="1:12" x14ac:dyDescent="0.25">
      <c r="B141" s="15" t="s">
        <v>197</v>
      </c>
      <c r="G141" s="20">
        <f>ROUNDUP(H140*C138/POIDS_SAC_CIMENT,0)</f>
        <v>25</v>
      </c>
      <c r="H141" s="40" t="s">
        <v>306</v>
      </c>
    </row>
    <row r="142" spans="1:12" x14ac:dyDescent="0.25">
      <c r="B142" s="15" t="s">
        <v>201</v>
      </c>
      <c r="G142" s="24">
        <f>H140*COEF_GRAVIER_VOL*DENSITE_GRAVIER</f>
        <v>4.4800000000000004</v>
      </c>
      <c r="H142" s="40" t="s">
        <v>307</v>
      </c>
    </row>
    <row r="143" spans="1:12" x14ac:dyDescent="0.25">
      <c r="B143" s="15" t="s">
        <v>199</v>
      </c>
      <c r="G143" s="24">
        <f>H140*COEF_SABLE_VOL*DENSITE_SABLE</f>
        <v>2.1</v>
      </c>
      <c r="H143" s="40" t="s">
        <v>307</v>
      </c>
    </row>
    <row r="144" spans="1:12" x14ac:dyDescent="0.25">
      <c r="B144" s="15" t="s">
        <v>308</v>
      </c>
      <c r="G144" s="20">
        <f>H140*C138/EAU_PAR_DOSAGE</f>
        <v>612.5</v>
      </c>
      <c r="H144" s="40" t="s">
        <v>309</v>
      </c>
    </row>
    <row r="145" spans="1:12" x14ac:dyDescent="0.25">
      <c r="B145" s="15" t="s">
        <v>453</v>
      </c>
      <c r="C145" s="32">
        <v>100</v>
      </c>
      <c r="D145" s="40" t="s">
        <v>454</v>
      </c>
    </row>
    <row r="146" spans="1:12" x14ac:dyDescent="0.25">
      <c r="B146" s="15" t="s">
        <v>455</v>
      </c>
      <c r="G146" s="21">
        <f>H140*C145</f>
        <v>350</v>
      </c>
      <c r="H146" s="40" t="s">
        <v>69</v>
      </c>
    </row>
    <row r="147" spans="1:12" ht="24" x14ac:dyDescent="0.25">
      <c r="B147" s="15" t="s">
        <v>456</v>
      </c>
      <c r="C147" s="32">
        <v>10</v>
      </c>
    </row>
    <row r="148" spans="1:12" x14ac:dyDescent="0.25">
      <c r="B148" s="15" t="s">
        <v>457</v>
      </c>
      <c r="G148" s="20">
        <f>ROUNDUP(G146/(LONG_BARRE_COMMERCIALE*IFERROR(INDEX(TAB_ACIER_POIDS,MATCH(C147,TAB_ACIER_DIAM,0)),1)),0)</f>
        <v>48</v>
      </c>
    </row>
    <row r="149" spans="1:12" x14ac:dyDescent="0.25">
      <c r="B149" s="15" t="s">
        <v>385</v>
      </c>
      <c r="G149" s="21">
        <f>(G146)*FIL_LIGATURE_PCT</f>
        <v>17.5</v>
      </c>
      <c r="H149" s="40" t="s">
        <v>69</v>
      </c>
    </row>
    <row r="150" spans="1:12" x14ac:dyDescent="0.25">
      <c r="B150" s="15" t="s">
        <v>458</v>
      </c>
      <c r="C150" s="33">
        <v>12</v>
      </c>
      <c r="G150" s="24">
        <f>H140*C150</f>
        <v>42</v>
      </c>
      <c r="H150" s="40" t="s">
        <v>269</v>
      </c>
    </row>
    <row r="151" spans="1:12" x14ac:dyDescent="0.25">
      <c r="B151" s="15" t="s">
        <v>354</v>
      </c>
      <c r="G151" s="20">
        <f>ROUNDUP((G150/(PLANCHE_L*PLANCHE_LARGEUR))*MAJORATION_ACHAT,0)</f>
        <v>52</v>
      </c>
    </row>
    <row r="152" spans="1:12" ht="24" x14ac:dyDescent="0.25">
      <c r="B152" s="15" t="s">
        <v>448</v>
      </c>
      <c r="G152" s="24">
        <f>G151*PLANCHE_L*PLANCHE_LARGEUR*PLANCHE_e*(1+TRAVERSES_PCT)</f>
        <v>2.8079999999999998</v>
      </c>
      <c r="H152" s="40" t="s">
        <v>204</v>
      </c>
    </row>
    <row r="153" spans="1:12" x14ac:dyDescent="0.25">
      <c r="B153" s="15" t="s">
        <v>340</v>
      </c>
      <c r="G153" s="21">
        <f>(G152/PLANCHE_e)*CLOUS_COFFRAGE_KGM2</f>
        <v>8.4239999999999995</v>
      </c>
      <c r="H153" s="40" t="s">
        <v>69</v>
      </c>
    </row>
    <row r="155" spans="1:12" ht="15" customHeight="1" x14ac:dyDescent="0.25">
      <c r="A155" s="5" t="s">
        <v>459</v>
      </c>
      <c r="B155" s="5"/>
      <c r="C155" s="5"/>
      <c r="D155" s="5"/>
      <c r="E155" s="5"/>
      <c r="F155" s="5"/>
      <c r="G155" s="5"/>
      <c r="H155" s="5"/>
      <c r="I155" s="5"/>
      <c r="J155" s="5"/>
      <c r="K155" s="5"/>
      <c r="L155" s="5"/>
    </row>
    <row r="157" spans="1:12" x14ac:dyDescent="0.25">
      <c r="B157" s="37" t="s">
        <v>460</v>
      </c>
    </row>
    <row r="158" spans="1:12" ht="24" x14ac:dyDescent="0.25">
      <c r="B158" s="8" t="s">
        <v>297</v>
      </c>
      <c r="C158" s="8" t="s">
        <v>292</v>
      </c>
      <c r="D158" s="8" t="s">
        <v>311</v>
      </c>
      <c r="E158" s="8"/>
      <c r="F158" s="8"/>
      <c r="G158" s="8"/>
      <c r="H158" s="8" t="s">
        <v>388</v>
      </c>
    </row>
    <row r="159" spans="1:12" x14ac:dyDescent="0.25">
      <c r="B159" s="15" t="s">
        <v>461</v>
      </c>
      <c r="C159" s="19">
        <v>33.6</v>
      </c>
      <c r="D159" s="19">
        <v>3</v>
      </c>
      <c r="E159" s="36"/>
      <c r="F159" s="36"/>
      <c r="G159" s="36"/>
      <c r="H159" s="24">
        <f>C159*D159</f>
        <v>100.80000000000001</v>
      </c>
    </row>
    <row r="160" spans="1:12" ht="24" x14ac:dyDescent="0.25">
      <c r="B160" s="8" t="s">
        <v>462</v>
      </c>
      <c r="C160" s="8" t="s">
        <v>282</v>
      </c>
      <c r="D160" s="8" t="s">
        <v>284</v>
      </c>
      <c r="E160" s="8" t="s">
        <v>311</v>
      </c>
      <c r="F160" s="8"/>
      <c r="G160" s="8"/>
      <c r="H160" s="8" t="s">
        <v>388</v>
      </c>
    </row>
    <row r="161" spans="1:12" x14ac:dyDescent="0.25">
      <c r="B161" s="15" t="s">
        <v>463</v>
      </c>
      <c r="C161" s="32">
        <v>3</v>
      </c>
      <c r="D161" s="33">
        <v>0.9</v>
      </c>
      <c r="E161" s="33">
        <v>2.1</v>
      </c>
      <c r="F161" s="36"/>
      <c r="G161" s="36"/>
      <c r="H161" s="24">
        <f>C161*D161*E161</f>
        <v>5.6700000000000008</v>
      </c>
    </row>
    <row r="162" spans="1:12" x14ac:dyDescent="0.25">
      <c r="B162" s="15" t="s">
        <v>464</v>
      </c>
      <c r="C162" s="32">
        <v>6</v>
      </c>
      <c r="D162" s="33">
        <v>1.2</v>
      </c>
      <c r="E162" s="33">
        <v>1.2</v>
      </c>
      <c r="F162" s="36"/>
      <c r="G162" s="36"/>
      <c r="H162" s="24">
        <f>C162*D162*E162</f>
        <v>8.6399999999999988</v>
      </c>
    </row>
    <row r="163" spans="1:12" x14ac:dyDescent="0.25">
      <c r="B163" s="15" t="s">
        <v>465</v>
      </c>
      <c r="H163" s="24">
        <f>C12*D12*F12</f>
        <v>7.2000000000000011</v>
      </c>
    </row>
    <row r="164" spans="1:12" ht="15" customHeight="1" x14ac:dyDescent="0.25">
      <c r="A164" s="2" t="s">
        <v>466</v>
      </c>
      <c r="B164" s="2"/>
      <c r="C164" s="2"/>
      <c r="D164" s="2"/>
      <c r="E164" s="2"/>
      <c r="F164" s="2"/>
      <c r="G164" s="2"/>
      <c r="H164" s="35">
        <f>H159-H161-H162-H163</f>
        <v>79.290000000000006</v>
      </c>
      <c r="I164" s="34"/>
      <c r="J164" s="34"/>
      <c r="K164" s="34"/>
      <c r="L164" s="34"/>
    </row>
    <row r="165" spans="1:12" ht="24" x14ac:dyDescent="0.25">
      <c r="B165" s="15" t="s">
        <v>467</v>
      </c>
      <c r="C165" s="33">
        <v>0.4</v>
      </c>
      <c r="D165" s="33">
        <v>0.2</v>
      </c>
      <c r="E165" s="33">
        <v>0.15</v>
      </c>
      <c r="F165" s="40" t="s">
        <v>468</v>
      </c>
    </row>
    <row r="166" spans="1:12" ht="24" x14ac:dyDescent="0.25">
      <c r="B166" s="15" t="s">
        <v>469</v>
      </c>
      <c r="G166" s="24">
        <f>(C165+JOINT_MACONNERIE)*(D165+JOINT_MACONNERIE)</f>
        <v>8.9225000000000013E-2</v>
      </c>
      <c r="H166" s="40" t="s">
        <v>269</v>
      </c>
    </row>
    <row r="167" spans="1:12" x14ac:dyDescent="0.25">
      <c r="B167" s="15" t="s">
        <v>470</v>
      </c>
      <c r="G167" s="20">
        <f>ROUNDUP((H164/G166)*MAJORATION_ACHAT,0)</f>
        <v>978</v>
      </c>
      <c r="H167" s="40" t="s">
        <v>471</v>
      </c>
    </row>
    <row r="168" spans="1:12" ht="24" x14ac:dyDescent="0.25">
      <c r="B168" s="15" t="s">
        <v>472</v>
      </c>
      <c r="G168" s="24">
        <f>(G167/MAJORATION_ACHAT)*(G166-C165*D165)*E165</f>
        <v>1.230279545454545</v>
      </c>
      <c r="H168" s="40" t="s">
        <v>204</v>
      </c>
    </row>
    <row r="169" spans="1:12" x14ac:dyDescent="0.25">
      <c r="B169" s="15" t="s">
        <v>197</v>
      </c>
      <c r="G169" s="20">
        <f>ROUNDUP(G168*DOSAGE_MORTIER_MACONNERIE/POIDS_SAC_CIMENT,0)</f>
        <v>8</v>
      </c>
      <c r="H169" s="40" t="s">
        <v>306</v>
      </c>
    </row>
    <row r="170" spans="1:12" x14ac:dyDescent="0.25">
      <c r="B170" s="15" t="s">
        <v>199</v>
      </c>
      <c r="G170" s="24">
        <f>G168*COEF_SABLE_MORTIER*DENSITE_SABLE</f>
        <v>1.8454193181818175</v>
      </c>
      <c r="H170" s="40" t="s">
        <v>307</v>
      </c>
    </row>
    <row r="171" spans="1:12" x14ac:dyDescent="0.25">
      <c r="B171" s="15" t="s">
        <v>308</v>
      </c>
      <c r="G171" s="20">
        <f>(G169*POIDS_SAC_CIMENT)*RATIO_EAU_CIMENT_MORTIER</f>
        <v>200</v>
      </c>
      <c r="H171" s="40" t="s">
        <v>309</v>
      </c>
    </row>
    <row r="173" spans="1:12" x14ac:dyDescent="0.25">
      <c r="B173" s="37" t="s">
        <v>473</v>
      </c>
    </row>
    <row r="174" spans="1:12" ht="24" x14ac:dyDescent="0.25">
      <c r="B174" s="8" t="s">
        <v>297</v>
      </c>
      <c r="C174" s="8" t="s">
        <v>292</v>
      </c>
      <c r="D174" s="8" t="s">
        <v>311</v>
      </c>
      <c r="E174" s="8"/>
      <c r="F174" s="8"/>
      <c r="G174" s="8"/>
      <c r="H174" s="8" t="s">
        <v>388</v>
      </c>
    </row>
    <row r="175" spans="1:12" x14ac:dyDescent="0.25">
      <c r="B175" s="15" t="s">
        <v>461</v>
      </c>
      <c r="C175" s="19">
        <v>33.6</v>
      </c>
      <c r="D175" s="19">
        <v>2.8</v>
      </c>
      <c r="E175" s="36"/>
      <c r="F175" s="36"/>
      <c r="G175" s="36"/>
      <c r="H175" s="24">
        <f>C175*D175</f>
        <v>94.08</v>
      </c>
    </row>
    <row r="176" spans="1:12" ht="24" x14ac:dyDescent="0.25">
      <c r="B176" s="8" t="s">
        <v>462</v>
      </c>
      <c r="C176" s="8" t="s">
        <v>282</v>
      </c>
      <c r="D176" s="8" t="s">
        <v>284</v>
      </c>
      <c r="E176" s="8" t="s">
        <v>311</v>
      </c>
      <c r="F176" s="8"/>
      <c r="G176" s="8"/>
      <c r="H176" s="8" t="s">
        <v>388</v>
      </c>
    </row>
    <row r="177" spans="1:12" x14ac:dyDescent="0.25">
      <c r="B177" s="15" t="s">
        <v>463</v>
      </c>
      <c r="C177" s="32">
        <v>6</v>
      </c>
      <c r="D177" s="33">
        <v>0.9</v>
      </c>
      <c r="E177" s="33">
        <v>2.1</v>
      </c>
      <c r="F177" s="36"/>
      <c r="G177" s="36"/>
      <c r="H177" s="24">
        <f>C177*D177*E177</f>
        <v>11.340000000000002</v>
      </c>
    </row>
    <row r="178" spans="1:12" x14ac:dyDescent="0.25">
      <c r="B178" s="15" t="s">
        <v>464</v>
      </c>
      <c r="C178" s="32">
        <v>8</v>
      </c>
      <c r="D178" s="33">
        <v>1.2</v>
      </c>
      <c r="E178" s="33">
        <v>1.2</v>
      </c>
      <c r="F178" s="36"/>
      <c r="G178" s="36"/>
      <c r="H178" s="24">
        <f>C178*D178*E178</f>
        <v>11.52</v>
      </c>
    </row>
    <row r="179" spans="1:12" x14ac:dyDescent="0.25">
      <c r="B179" s="15" t="s">
        <v>465</v>
      </c>
      <c r="H179" s="24">
        <f>C34*D34*F34</f>
        <v>6.7200000000000006</v>
      </c>
    </row>
    <row r="180" spans="1:12" ht="15" customHeight="1" x14ac:dyDescent="0.25">
      <c r="A180" s="2" t="s">
        <v>466</v>
      </c>
      <c r="B180" s="2"/>
      <c r="C180" s="2"/>
      <c r="D180" s="2"/>
      <c r="E180" s="2"/>
      <c r="F180" s="2"/>
      <c r="G180" s="2"/>
      <c r="H180" s="35">
        <f>H175-H177-H178-H179</f>
        <v>64.5</v>
      </c>
      <c r="I180" s="34"/>
      <c r="J180" s="34"/>
      <c r="K180" s="34"/>
      <c r="L180" s="34"/>
    </row>
    <row r="181" spans="1:12" ht="24" x14ac:dyDescent="0.25">
      <c r="B181" s="15" t="s">
        <v>467</v>
      </c>
      <c r="C181" s="33">
        <v>0.4</v>
      </c>
      <c r="D181" s="33">
        <v>0.2</v>
      </c>
      <c r="E181" s="33">
        <v>0.15</v>
      </c>
      <c r="F181" s="40" t="s">
        <v>468</v>
      </c>
    </row>
    <row r="182" spans="1:12" ht="24" x14ac:dyDescent="0.25">
      <c r="B182" s="15" t="s">
        <v>469</v>
      </c>
      <c r="G182" s="24">
        <f>(C181+JOINT_MACONNERIE)*(D181+JOINT_MACONNERIE)</f>
        <v>8.9225000000000013E-2</v>
      </c>
      <c r="H182" s="40" t="s">
        <v>269</v>
      </c>
    </row>
    <row r="183" spans="1:12" x14ac:dyDescent="0.25">
      <c r="B183" s="15" t="s">
        <v>470</v>
      </c>
      <c r="G183" s="20">
        <f>ROUNDUP((H180/G182)*MAJORATION_ACHAT,0)</f>
        <v>796</v>
      </c>
      <c r="H183" s="40" t="s">
        <v>471</v>
      </c>
    </row>
    <row r="184" spans="1:12" ht="24" x14ac:dyDescent="0.25">
      <c r="B184" s="15" t="s">
        <v>472</v>
      </c>
      <c r="G184" s="24">
        <f>(G183/MAJORATION_ACHAT)*(G182-C181*D181)*E181</f>
        <v>1.0013318181818178</v>
      </c>
      <c r="H184" s="40" t="s">
        <v>204</v>
      </c>
    </row>
    <row r="185" spans="1:12" x14ac:dyDescent="0.25">
      <c r="B185" s="15" t="s">
        <v>197</v>
      </c>
      <c r="G185" s="20">
        <f>ROUNDUP(G184*DOSAGE_MORTIER_MACONNERIE/POIDS_SAC_CIMENT,0)</f>
        <v>7</v>
      </c>
      <c r="H185" s="40" t="s">
        <v>306</v>
      </c>
    </row>
    <row r="186" spans="1:12" x14ac:dyDescent="0.25">
      <c r="B186" s="15" t="s">
        <v>199</v>
      </c>
      <c r="G186" s="24">
        <f>G184*COEF_SABLE_MORTIER*DENSITE_SABLE</f>
        <v>1.5019977272727267</v>
      </c>
      <c r="H186" s="40" t="s">
        <v>307</v>
      </c>
    </row>
    <row r="187" spans="1:12" x14ac:dyDescent="0.25">
      <c r="B187" s="15" t="s">
        <v>308</v>
      </c>
      <c r="G187" s="20">
        <f>(G185*POIDS_SAC_CIMENT)*RATIO_EAU_CIMENT_MORTIER</f>
        <v>175</v>
      </c>
      <c r="H187" s="40" t="s">
        <v>309</v>
      </c>
    </row>
    <row r="189" spans="1:12" ht="15" customHeight="1" x14ac:dyDescent="0.25">
      <c r="A189" s="5" t="s">
        <v>474</v>
      </c>
      <c r="B189" s="5"/>
      <c r="C189" s="5"/>
      <c r="D189" s="5"/>
      <c r="E189" s="5"/>
      <c r="F189" s="5"/>
      <c r="G189" s="5"/>
      <c r="H189" s="5"/>
      <c r="I189" s="5"/>
      <c r="J189" s="5"/>
      <c r="K189" s="5"/>
      <c r="L189" s="5"/>
    </row>
    <row r="191" spans="1:12" ht="15" customHeight="1" x14ac:dyDescent="0.25">
      <c r="A191" s="3" t="s">
        <v>475</v>
      </c>
      <c r="B191" s="3"/>
      <c r="C191" s="3"/>
      <c r="D191" s="3"/>
      <c r="E191" s="3"/>
      <c r="F191" s="3"/>
      <c r="G191" s="3"/>
      <c r="H191" s="3"/>
      <c r="I191" s="3"/>
      <c r="J191" s="3"/>
      <c r="K191" s="3"/>
      <c r="L191" s="3"/>
    </row>
    <row r="192" spans="1:12" x14ac:dyDescent="0.25">
      <c r="B192" s="8" t="s">
        <v>392</v>
      </c>
      <c r="C192" s="8"/>
      <c r="D192" s="8"/>
      <c r="E192" s="8"/>
      <c r="F192" s="8"/>
      <c r="G192" s="8" t="s">
        <v>305</v>
      </c>
      <c r="H192" s="8" t="s">
        <v>67</v>
      </c>
    </row>
    <row r="193" spans="1:12" x14ac:dyDescent="0.25">
      <c r="B193" s="37" t="s">
        <v>476</v>
      </c>
      <c r="G193" s="42">
        <f>H12</f>
        <v>1.4400000000000004</v>
      </c>
      <c r="H193" s="40" t="s">
        <v>204</v>
      </c>
    </row>
    <row r="194" spans="1:12" x14ac:dyDescent="0.25">
      <c r="B194" s="37" t="s">
        <v>477</v>
      </c>
      <c r="G194" s="42">
        <f>H34</f>
        <v>1.3440000000000003</v>
      </c>
      <c r="H194" s="40" t="s">
        <v>204</v>
      </c>
    </row>
    <row r="195" spans="1:12" x14ac:dyDescent="0.25">
      <c r="B195" s="37" t="s">
        <v>478</v>
      </c>
      <c r="G195" s="42">
        <f>H58</f>
        <v>1.008</v>
      </c>
      <c r="H195" s="40" t="s">
        <v>204</v>
      </c>
    </row>
    <row r="196" spans="1:12" x14ac:dyDescent="0.25">
      <c r="B196" s="37" t="s">
        <v>479</v>
      </c>
      <c r="G196" s="42">
        <f>H80</f>
        <v>1.008</v>
      </c>
      <c r="H196" s="40" t="s">
        <v>204</v>
      </c>
    </row>
    <row r="197" spans="1:12" x14ac:dyDescent="0.25">
      <c r="B197" s="37" t="s">
        <v>480</v>
      </c>
      <c r="G197" s="42">
        <f>H104</f>
        <v>0.28349999999999997</v>
      </c>
      <c r="H197" s="40" t="s">
        <v>204</v>
      </c>
    </row>
    <row r="198" spans="1:12" x14ac:dyDescent="0.25">
      <c r="B198" s="37" t="s">
        <v>481</v>
      </c>
      <c r="G198" s="42">
        <f>H121</f>
        <v>0.28349999999999997</v>
      </c>
      <c r="H198" s="40" t="s">
        <v>204</v>
      </c>
    </row>
    <row r="199" spans="1:12" x14ac:dyDescent="0.25">
      <c r="B199" s="37" t="s">
        <v>482</v>
      </c>
      <c r="G199" s="42">
        <f>H140</f>
        <v>3.5</v>
      </c>
      <c r="H199" s="40" t="s">
        <v>204</v>
      </c>
    </row>
    <row r="200" spans="1:12" x14ac:dyDescent="0.25">
      <c r="B200" s="37" t="s">
        <v>483</v>
      </c>
      <c r="G200" s="42">
        <f>H164</f>
        <v>79.290000000000006</v>
      </c>
      <c r="H200" s="40" t="s">
        <v>269</v>
      </c>
    </row>
    <row r="201" spans="1:12" x14ac:dyDescent="0.25">
      <c r="B201" s="37" t="s">
        <v>484</v>
      </c>
      <c r="G201" s="42">
        <f>H180</f>
        <v>64.5</v>
      </c>
      <c r="H201" s="40" t="s">
        <v>269</v>
      </c>
    </row>
    <row r="203" spans="1:12" ht="15" customHeight="1" x14ac:dyDescent="0.25">
      <c r="A203" s="3" t="s">
        <v>404</v>
      </c>
      <c r="B203" s="3"/>
      <c r="C203" s="3"/>
      <c r="D203" s="3"/>
      <c r="E203" s="3"/>
      <c r="F203" s="3"/>
      <c r="G203" s="3"/>
      <c r="H203" s="3"/>
      <c r="I203" s="3"/>
      <c r="J203" s="3"/>
      <c r="K203" s="3"/>
      <c r="L203" s="3"/>
    </row>
    <row r="204" spans="1:12" ht="24" x14ac:dyDescent="0.25">
      <c r="B204" s="8" t="s">
        <v>195</v>
      </c>
      <c r="C204" s="8"/>
      <c r="D204" s="8"/>
      <c r="E204" s="8"/>
      <c r="F204" s="8"/>
      <c r="G204" s="8" t="s">
        <v>405</v>
      </c>
      <c r="H204" s="8" t="s">
        <v>67</v>
      </c>
    </row>
    <row r="205" spans="1:12" x14ac:dyDescent="0.25">
      <c r="B205" s="37" t="s">
        <v>197</v>
      </c>
      <c r="G205" s="23">
        <f>G13+G35+G59+G81+G105+G122+G141+G169+G185</f>
        <v>81</v>
      </c>
      <c r="H205" s="40" t="s">
        <v>306</v>
      </c>
    </row>
    <row r="206" spans="1:12" x14ac:dyDescent="0.25">
      <c r="B206" s="37" t="s">
        <v>201</v>
      </c>
      <c r="G206" s="42">
        <f>G14+G36+G60+G82+G106+G123+G142</f>
        <v>11.34976</v>
      </c>
      <c r="H206" s="40" t="s">
        <v>307</v>
      </c>
    </row>
    <row r="207" spans="1:12" x14ac:dyDescent="0.25">
      <c r="B207" s="37" t="s">
        <v>199</v>
      </c>
      <c r="G207" s="42">
        <f>G15+G37+G61+G83+G107+G124+G143+G170+G186</f>
        <v>8.6676170454545449</v>
      </c>
      <c r="H207" s="40" t="s">
        <v>307</v>
      </c>
    </row>
    <row r="208" spans="1:12" x14ac:dyDescent="0.25">
      <c r="B208" s="37" t="s">
        <v>308</v>
      </c>
      <c r="G208" s="23">
        <f>G16+G38+G62+G84+G108+G125+G144+G171+G187</f>
        <v>1926.7249999999999</v>
      </c>
      <c r="H208" s="40" t="s">
        <v>309</v>
      </c>
    </row>
    <row r="209" spans="1:12" x14ac:dyDescent="0.25">
      <c r="B209" s="37" t="s">
        <v>485</v>
      </c>
      <c r="G209" s="23">
        <f>G167+G183</f>
        <v>1774</v>
      </c>
      <c r="H209" s="40" t="s">
        <v>407</v>
      </c>
    </row>
    <row r="210" spans="1:12" x14ac:dyDescent="0.25">
      <c r="B210" s="37" t="s">
        <v>406</v>
      </c>
      <c r="G210" s="23">
        <f>G25+G47+G71+G93+G114+G131+G151</f>
        <v>169</v>
      </c>
      <c r="H210" s="40" t="s">
        <v>407</v>
      </c>
    </row>
    <row r="211" spans="1:12" x14ac:dyDescent="0.25">
      <c r="B211" s="37" t="s">
        <v>408</v>
      </c>
      <c r="G211" s="23">
        <f>H27+H49+H73+H95</f>
        <v>76</v>
      </c>
      <c r="H211" s="40" t="s">
        <v>407</v>
      </c>
    </row>
    <row r="212" spans="1:12" x14ac:dyDescent="0.25">
      <c r="B212" s="37" t="s">
        <v>409</v>
      </c>
      <c r="G212" s="42">
        <f>G28+G50+G74+G96+G115+G132+G152</f>
        <v>9.1260000000000012</v>
      </c>
      <c r="H212" s="40" t="s">
        <v>204</v>
      </c>
    </row>
    <row r="213" spans="1:12" x14ac:dyDescent="0.25">
      <c r="B213" s="37" t="s">
        <v>340</v>
      </c>
      <c r="G213" s="42">
        <f>G29+G51+G75+G97+G116+G133+G153</f>
        <v>27.378</v>
      </c>
      <c r="H213" s="40" t="s">
        <v>69</v>
      </c>
    </row>
    <row r="214" spans="1:12" x14ac:dyDescent="0.25">
      <c r="B214" s="37" t="s">
        <v>410</v>
      </c>
      <c r="G214" s="42">
        <f>G23+G45+G69+G91+G112+G129+G149</f>
        <v>54.572800000000001</v>
      </c>
      <c r="H214" s="40" t="s">
        <v>69</v>
      </c>
    </row>
    <row r="216" spans="1:12" ht="15" customHeight="1" x14ac:dyDescent="0.25">
      <c r="A216" s="3" t="s">
        <v>486</v>
      </c>
      <c r="B216" s="3"/>
      <c r="C216" s="3"/>
      <c r="D216" s="3"/>
      <c r="E216" s="3"/>
      <c r="F216" s="3"/>
      <c r="G216" s="3"/>
      <c r="H216" s="3"/>
      <c r="I216" s="3"/>
      <c r="J216" s="3"/>
      <c r="K216" s="3"/>
      <c r="L216" s="3"/>
    </row>
    <row r="217" spans="1:12" ht="24" x14ac:dyDescent="0.25">
      <c r="B217" s="8" t="s">
        <v>297</v>
      </c>
      <c r="C217" s="8" t="s">
        <v>108</v>
      </c>
      <c r="D217" s="8"/>
      <c r="E217" s="8"/>
      <c r="F217" s="8"/>
      <c r="G217" s="8" t="s">
        <v>320</v>
      </c>
      <c r="H217" s="8" t="s">
        <v>321</v>
      </c>
    </row>
    <row r="218" spans="1:12" x14ac:dyDescent="0.25">
      <c r="B218" s="15" t="s">
        <v>487</v>
      </c>
      <c r="C218" s="41">
        <f>C19</f>
        <v>12</v>
      </c>
      <c r="G218" s="20">
        <f>G19</f>
        <v>16</v>
      </c>
      <c r="H218" s="21">
        <f>H19</f>
        <v>168.96</v>
      </c>
    </row>
    <row r="219" spans="1:12" x14ac:dyDescent="0.25">
      <c r="B219" s="15" t="s">
        <v>488</v>
      </c>
      <c r="C219" s="41">
        <f>C22</f>
        <v>8</v>
      </c>
      <c r="G219" s="20">
        <f>G22</f>
        <v>15</v>
      </c>
      <c r="H219" s="21">
        <f>H22</f>
        <v>71.100000000000009</v>
      </c>
    </row>
    <row r="220" spans="1:12" x14ac:dyDescent="0.25">
      <c r="B220" s="15" t="s">
        <v>489</v>
      </c>
      <c r="C220" s="41">
        <f>C41</f>
        <v>12</v>
      </c>
      <c r="G220" s="20">
        <f>G41</f>
        <v>16</v>
      </c>
      <c r="H220" s="21">
        <f>H41</f>
        <v>168.96</v>
      </c>
    </row>
    <row r="221" spans="1:12" x14ac:dyDescent="0.25">
      <c r="B221" s="15" t="s">
        <v>490</v>
      </c>
      <c r="C221" s="41">
        <f>C44</f>
        <v>8</v>
      </c>
      <c r="G221" s="20">
        <f>G44</f>
        <v>15</v>
      </c>
      <c r="H221" s="21">
        <f>H44</f>
        <v>71.100000000000009</v>
      </c>
    </row>
    <row r="222" spans="1:12" x14ac:dyDescent="0.25">
      <c r="B222" s="15" t="s">
        <v>491</v>
      </c>
      <c r="C222" s="41">
        <f>C65</f>
        <v>12</v>
      </c>
      <c r="G222" s="20">
        <f>G65</f>
        <v>8</v>
      </c>
      <c r="H222" s="21">
        <f>H65</f>
        <v>84.48</v>
      </c>
    </row>
    <row r="223" spans="1:12" x14ac:dyDescent="0.25">
      <c r="B223" s="15" t="s">
        <v>492</v>
      </c>
      <c r="C223" s="41">
        <f>C68</f>
        <v>6</v>
      </c>
      <c r="G223" s="20">
        <f>G68</f>
        <v>9</v>
      </c>
      <c r="H223" s="21">
        <f>H68</f>
        <v>23.975999999999999</v>
      </c>
    </row>
    <row r="224" spans="1:12" x14ac:dyDescent="0.25">
      <c r="B224" s="15" t="s">
        <v>493</v>
      </c>
      <c r="C224" s="41">
        <f>C87</f>
        <v>12</v>
      </c>
      <c r="G224" s="20">
        <f>G87</f>
        <v>8</v>
      </c>
      <c r="H224" s="21">
        <f>H87</f>
        <v>84.48</v>
      </c>
    </row>
    <row r="225" spans="1:12" x14ac:dyDescent="0.25">
      <c r="B225" s="15" t="s">
        <v>494</v>
      </c>
      <c r="C225" s="41">
        <f>C90</f>
        <v>6</v>
      </c>
      <c r="G225" s="20">
        <f>G90</f>
        <v>9</v>
      </c>
      <c r="H225" s="21">
        <f>H90</f>
        <v>23.975999999999999</v>
      </c>
    </row>
    <row r="226" spans="1:12" x14ac:dyDescent="0.25">
      <c r="B226" s="15" t="s">
        <v>495</v>
      </c>
      <c r="C226" s="41">
        <f>C111</f>
        <v>10</v>
      </c>
      <c r="G226" s="20">
        <f>G111</f>
        <v>3</v>
      </c>
      <c r="H226" s="21">
        <f>H111</f>
        <v>22.212</v>
      </c>
    </row>
    <row r="227" spans="1:12" x14ac:dyDescent="0.25">
      <c r="B227" s="15" t="s">
        <v>496</v>
      </c>
      <c r="C227" s="41">
        <f>C128</f>
        <v>10</v>
      </c>
      <c r="G227" s="20">
        <f>G128</f>
        <v>3</v>
      </c>
      <c r="H227" s="21">
        <f>H128</f>
        <v>22.212</v>
      </c>
    </row>
    <row r="228" spans="1:12" x14ac:dyDescent="0.25">
      <c r="B228" s="15" t="s">
        <v>497</v>
      </c>
      <c r="C228" s="41">
        <f>C147</f>
        <v>10</v>
      </c>
      <c r="G228" s="20">
        <f>G148</f>
        <v>48</v>
      </c>
      <c r="H228" s="21">
        <f>G146</f>
        <v>350</v>
      </c>
    </row>
    <row r="229" spans="1:12" ht="15" customHeight="1" x14ac:dyDescent="0.25">
      <c r="A229" s="2" t="s">
        <v>498</v>
      </c>
      <c r="B229" s="2"/>
      <c r="C229" s="2"/>
      <c r="D229" s="2"/>
      <c r="E229" s="2"/>
      <c r="F229" s="2"/>
      <c r="G229" s="34"/>
      <c r="H229" s="44">
        <f>H218+H219+H220+H221+H222+H223+H224+H225+H226+H227+H228</f>
        <v>1091.4560000000001</v>
      </c>
      <c r="I229" s="34"/>
      <c r="J229" s="34"/>
      <c r="K229" s="34"/>
      <c r="L229" s="34"/>
    </row>
  </sheetData>
  <mergeCells count="16">
    <mergeCell ref="A229:F229"/>
    <mergeCell ref="A180:G180"/>
    <mergeCell ref="A189:L189"/>
    <mergeCell ref="A191:L191"/>
    <mergeCell ref="A203:L203"/>
    <mergeCell ref="A216:L216"/>
    <mergeCell ref="A99:L99"/>
    <mergeCell ref="A135:L135"/>
    <mergeCell ref="A137:L137"/>
    <mergeCell ref="A155:L155"/>
    <mergeCell ref="A164:G164"/>
    <mergeCell ref="A2:L2"/>
    <mergeCell ref="A3:L3"/>
    <mergeCell ref="A5:L5"/>
    <mergeCell ref="A7:L7"/>
    <mergeCell ref="A53:L53"/>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48235"/>
  </sheetPr>
  <dimension ref="A2:L81"/>
  <sheetViews>
    <sheetView showGridLines="0" zoomScaleNormal="100" workbookViewId="0">
      <pane xSplit="1" ySplit="7" topLeftCell="B71" activePane="bottomRight" state="frozen"/>
      <selection pane="topRight" activeCell="B1" sqref="B1"/>
      <selection pane="bottomLeft" activeCell="A8" sqref="A8"/>
      <selection pane="bottomRight"/>
    </sheetView>
  </sheetViews>
  <sheetFormatPr baseColWidth="10" defaultColWidth="8.7109375" defaultRowHeight="15" x14ac:dyDescent="0.25"/>
  <cols>
    <col min="1" max="1" width="2" customWidth="1"/>
    <col min="2" max="2" width="34" customWidth="1"/>
    <col min="3" max="6" width="9" customWidth="1"/>
    <col min="7" max="12" width="11" customWidth="1"/>
  </cols>
  <sheetData>
    <row r="2" spans="1:12" ht="27.75" customHeight="1" x14ac:dyDescent="0.25">
      <c r="A2" s="7" t="s">
        <v>499</v>
      </c>
      <c r="B2" s="7"/>
      <c r="C2" s="7"/>
      <c r="D2" s="7"/>
      <c r="E2" s="7"/>
      <c r="F2" s="7"/>
      <c r="G2" s="7"/>
      <c r="H2" s="7"/>
      <c r="I2" s="7"/>
      <c r="J2" s="7"/>
      <c r="K2" s="7"/>
      <c r="L2" s="7"/>
    </row>
    <row r="3" spans="1:12" ht="15" customHeight="1" x14ac:dyDescent="0.25">
      <c r="A3" s="6" t="s">
        <v>500</v>
      </c>
      <c r="B3" s="6"/>
      <c r="C3" s="6"/>
      <c r="D3" s="6"/>
      <c r="E3" s="6"/>
      <c r="F3" s="6"/>
      <c r="G3" s="6"/>
      <c r="H3" s="6"/>
      <c r="I3" s="6"/>
      <c r="J3" s="6"/>
      <c r="K3" s="6"/>
      <c r="L3" s="6"/>
    </row>
    <row r="5" spans="1:12" ht="20.85" customHeight="1" x14ac:dyDescent="0.25">
      <c r="A5" s="3" t="s">
        <v>501</v>
      </c>
      <c r="B5" s="3"/>
      <c r="C5" s="3"/>
      <c r="D5" s="3"/>
      <c r="E5" s="3"/>
      <c r="F5" s="3"/>
      <c r="G5" s="3"/>
      <c r="H5" s="3"/>
      <c r="I5" s="3"/>
      <c r="J5" s="3"/>
      <c r="K5" s="3"/>
      <c r="L5" s="3"/>
    </row>
    <row r="7" spans="1:12" ht="15" customHeight="1" x14ac:dyDescent="0.25">
      <c r="A7" s="5" t="s">
        <v>502</v>
      </c>
      <c r="B7" s="5"/>
      <c r="C7" s="5"/>
      <c r="D7" s="5"/>
      <c r="E7" s="5"/>
      <c r="F7" s="5"/>
      <c r="G7" s="5"/>
      <c r="H7" s="5"/>
      <c r="I7" s="5"/>
      <c r="J7" s="5"/>
      <c r="K7" s="5"/>
      <c r="L7" s="5"/>
    </row>
    <row r="9" spans="1:12" x14ac:dyDescent="0.25">
      <c r="B9" s="37" t="s">
        <v>503</v>
      </c>
    </row>
    <row r="10" spans="1:12" x14ac:dyDescent="0.25">
      <c r="B10" s="15" t="s">
        <v>95</v>
      </c>
      <c r="C10" s="16">
        <v>350</v>
      </c>
    </row>
    <row r="11" spans="1:12" ht="24" x14ac:dyDescent="0.25">
      <c r="B11" s="8" t="s">
        <v>297</v>
      </c>
      <c r="C11" s="8" t="s">
        <v>504</v>
      </c>
      <c r="D11" s="8" t="s">
        <v>505</v>
      </c>
      <c r="E11" s="8" t="s">
        <v>506</v>
      </c>
      <c r="F11" s="8"/>
      <c r="G11" s="8"/>
      <c r="H11" s="8" t="s">
        <v>287</v>
      </c>
    </row>
    <row r="12" spans="1:12" x14ac:dyDescent="0.25">
      <c r="B12" s="15" t="s">
        <v>507</v>
      </c>
      <c r="C12" s="19">
        <v>9.65</v>
      </c>
      <c r="D12" s="19">
        <v>7.15</v>
      </c>
      <c r="E12" s="19">
        <v>0.1</v>
      </c>
      <c r="F12" s="36"/>
      <c r="G12" s="36"/>
      <c r="H12" s="24">
        <f>C12*D12*E12</f>
        <v>6.8997500000000009</v>
      </c>
    </row>
    <row r="13" spans="1:12" x14ac:dyDescent="0.25">
      <c r="B13" s="15" t="s">
        <v>197</v>
      </c>
      <c r="G13" s="20">
        <f>ROUNDUP(H12*C10/POIDS_SAC_CIMENT,0)</f>
        <v>49</v>
      </c>
      <c r="H13" s="40" t="s">
        <v>306</v>
      </c>
    </row>
    <row r="14" spans="1:12" x14ac:dyDescent="0.25">
      <c r="B14" s="15" t="s">
        <v>201</v>
      </c>
      <c r="G14" s="24">
        <f>H12*COEF_GRAVIER_VOL*DENSITE_GRAVIER</f>
        <v>8.8316800000000022</v>
      </c>
      <c r="H14" s="40" t="s">
        <v>307</v>
      </c>
    </row>
    <row r="15" spans="1:12" x14ac:dyDescent="0.25">
      <c r="B15" s="15" t="s">
        <v>199</v>
      </c>
      <c r="G15" s="24">
        <f>H12*COEF_SABLE_VOL*DENSITE_SABLE</f>
        <v>4.1398500000000009</v>
      </c>
      <c r="H15" s="40" t="s">
        <v>307</v>
      </c>
    </row>
    <row r="16" spans="1:12" x14ac:dyDescent="0.25">
      <c r="B16" s="15" t="s">
        <v>308</v>
      </c>
      <c r="G16" s="20">
        <f>H12*C10/EAU_PAR_DOSAGE</f>
        <v>1207.4562500000002</v>
      </c>
      <c r="H16" s="40" t="s">
        <v>309</v>
      </c>
    </row>
    <row r="17" spans="1:12" ht="24" x14ac:dyDescent="0.25">
      <c r="B17" s="8"/>
      <c r="C17" s="8" t="s">
        <v>427</v>
      </c>
      <c r="D17" s="8" t="s">
        <v>316</v>
      </c>
      <c r="E17" s="8" t="s">
        <v>429</v>
      </c>
      <c r="F17" s="8" t="s">
        <v>508</v>
      </c>
      <c r="G17" s="8" t="s">
        <v>320</v>
      </c>
      <c r="H17" s="8" t="s">
        <v>321</v>
      </c>
    </row>
    <row r="18" spans="1:12" x14ac:dyDescent="0.25">
      <c r="B18" s="36"/>
      <c r="C18" s="32">
        <v>10</v>
      </c>
      <c r="D18" s="33">
        <v>0.15</v>
      </c>
      <c r="E18" s="20">
        <f>IF(D12=0,0,ROUNDUP(D12/D18+1,0))</f>
        <v>49</v>
      </c>
      <c r="F18" s="24">
        <f>C12-2*ENROBAGE</f>
        <v>9.6100000000000012</v>
      </c>
      <c r="G18" s="20">
        <f>IF(F18&lt;=LONG_BARRE_UTILE,ROUNDUP(E18/MAX(1,INT(LONG_BARRE_UTILE/F18)),0),E18+ROUNDUP(E18/MAX(1,INT(LONG_BARRE_UTILE/(F18+ROUND((C18/1000)*INDEX(TAB_NUANCE_COEF,MATCH(NUANCE_HA_DEFAUT,TAB_NUANCE_NOM,0)),3)-LONG_BARRE_UTILE))),0))</f>
        <v>49</v>
      </c>
      <c r="H18" s="21">
        <f>G18*LONG_BARRE_COMMERCIALE*IFERROR(INDEX(TAB_ACIER_POIDS,MATCH(C18,TAB_ACIER_DIAM,0)),0)</f>
        <v>362.79599999999999</v>
      </c>
    </row>
    <row r="19" spans="1:12" ht="24" x14ac:dyDescent="0.25">
      <c r="B19" s="8"/>
      <c r="C19" s="8" t="s">
        <v>427</v>
      </c>
      <c r="D19" s="8" t="s">
        <v>316</v>
      </c>
      <c r="E19" s="8" t="s">
        <v>429</v>
      </c>
      <c r="F19" s="8" t="s">
        <v>508</v>
      </c>
      <c r="G19" s="8" t="s">
        <v>320</v>
      </c>
      <c r="H19" s="8" t="s">
        <v>321</v>
      </c>
    </row>
    <row r="20" spans="1:12" x14ac:dyDescent="0.25">
      <c r="B20" s="36"/>
      <c r="C20" s="32">
        <v>10</v>
      </c>
      <c r="D20" s="33">
        <v>0.15</v>
      </c>
      <c r="E20" s="20">
        <f>IF(C12=0,0,ROUNDUP(C12/D20+1,0))</f>
        <v>66</v>
      </c>
      <c r="F20" s="24">
        <f>D12-2*ENROBAGE</f>
        <v>7.11</v>
      </c>
      <c r="G20" s="20">
        <f>IF(F20&lt;=LONG_BARRE_UTILE,ROUNDUP(E20/MAX(1,INT(LONG_BARRE_UTILE/F20)),0),E20+ROUNDUP(E20/MAX(1,INT(LONG_BARRE_UTILE/(F20+ROUND((C20/1000)*INDEX(TAB_NUANCE_COEF,MATCH(NUANCE_HA_DEFAUT,TAB_NUANCE_NOM,0)),3)-LONG_BARRE_UTILE))),0))</f>
        <v>66</v>
      </c>
      <c r="H20" s="21">
        <f>G20*LONG_BARRE_COMMERCIALE*IFERROR(INDEX(TAB_ACIER_POIDS,MATCH(C20,TAB_ACIER_DIAM,0)),0)</f>
        <v>488.66399999999999</v>
      </c>
    </row>
    <row r="21" spans="1:12" x14ac:dyDescent="0.25">
      <c r="B21" s="15" t="s">
        <v>385</v>
      </c>
      <c r="G21" s="21">
        <f>(H18+H20)*FIL_LIGATURE_PCT</f>
        <v>42.573000000000008</v>
      </c>
      <c r="H21" s="40" t="s">
        <v>69</v>
      </c>
    </row>
    <row r="22" spans="1:12" x14ac:dyDescent="0.25">
      <c r="B22" s="15" t="s">
        <v>509</v>
      </c>
      <c r="G22" s="24">
        <f>C12*D12*RATIO_COFFRAGE_DALLE</f>
        <v>77.277200000000008</v>
      </c>
      <c r="H22" s="40" t="s">
        <v>269</v>
      </c>
    </row>
    <row r="23" spans="1:12" x14ac:dyDescent="0.25">
      <c r="B23" s="15" t="s">
        <v>354</v>
      </c>
      <c r="G23" s="20">
        <f>ROUNDUP((G22/(PLANCHE_L*PLANCHE_LARGEUR))*MAJORATION_ACHAT,0)</f>
        <v>95</v>
      </c>
    </row>
    <row r="24" spans="1:12" x14ac:dyDescent="0.25">
      <c r="B24" s="15" t="s">
        <v>336</v>
      </c>
      <c r="G24" s="24">
        <f>G23*PLANCHE_L*PLANCHE_LARGEUR*PLANCHE_e</f>
        <v>4.2750000000000004</v>
      </c>
    </row>
    <row r="25" spans="1:12" x14ac:dyDescent="0.25">
      <c r="B25" s="15" t="s">
        <v>432</v>
      </c>
      <c r="G25" s="24">
        <f>G24*TRAVERSES_PCT</f>
        <v>0.85500000000000009</v>
      </c>
      <c r="H25" s="20">
        <f>ROUNDUP(G25/CHEVRON_TRAV_V1,0)</f>
        <v>69</v>
      </c>
      <c r="I25" s="40" t="s">
        <v>338</v>
      </c>
    </row>
    <row r="26" spans="1:12" x14ac:dyDescent="0.25">
      <c r="B26" s="15" t="s">
        <v>433</v>
      </c>
      <c r="G26" s="24">
        <f>G24+G25</f>
        <v>5.1300000000000008</v>
      </c>
      <c r="H26" s="40" t="s">
        <v>204</v>
      </c>
    </row>
    <row r="27" spans="1:12" x14ac:dyDescent="0.25">
      <c r="B27" s="15" t="s">
        <v>340</v>
      </c>
      <c r="G27" s="21">
        <f>((G24/PLANCHE_e)+(G25/PLANCHE_e))*CLOUS_COFFRAGE_KGM2</f>
        <v>15.389999999999999</v>
      </c>
      <c r="H27" s="40" t="s">
        <v>69</v>
      </c>
    </row>
    <row r="29" spans="1:12" x14ac:dyDescent="0.25">
      <c r="B29" s="37" t="s">
        <v>510</v>
      </c>
    </row>
    <row r="30" spans="1:12" ht="24" x14ac:dyDescent="0.25">
      <c r="B30" s="8" t="s">
        <v>297</v>
      </c>
      <c r="C30" s="8" t="s">
        <v>283</v>
      </c>
      <c r="D30" s="8" t="s">
        <v>284</v>
      </c>
      <c r="E30" s="8" t="s">
        <v>123</v>
      </c>
      <c r="F30" s="8"/>
      <c r="G30" s="8" t="s">
        <v>511</v>
      </c>
      <c r="H30" s="8" t="s">
        <v>67</v>
      </c>
    </row>
    <row r="31" spans="1:12" x14ac:dyDescent="0.25">
      <c r="B31" s="15" t="s">
        <v>512</v>
      </c>
      <c r="C31" s="19">
        <v>0</v>
      </c>
      <c r="D31" s="19">
        <v>0</v>
      </c>
      <c r="E31" s="31" t="s">
        <v>513</v>
      </c>
      <c r="F31" s="36"/>
      <c r="G31" s="24">
        <f>C31*D31</f>
        <v>0</v>
      </c>
      <c r="H31" s="40" t="s">
        <v>269</v>
      </c>
    </row>
    <row r="32" spans="1:12" ht="15" customHeight="1" x14ac:dyDescent="0.25">
      <c r="A32" s="3" t="s">
        <v>514</v>
      </c>
      <c r="B32" s="3"/>
      <c r="C32" s="3"/>
      <c r="D32" s="3"/>
      <c r="E32" s="3"/>
      <c r="F32" s="3"/>
      <c r="G32" s="3"/>
      <c r="H32" s="3"/>
      <c r="I32" s="3"/>
      <c r="J32" s="3"/>
      <c r="K32" s="3"/>
      <c r="L32" s="3"/>
    </row>
    <row r="34" spans="1:12" ht="15" customHeight="1" x14ac:dyDescent="0.25">
      <c r="A34" s="5" t="s">
        <v>515</v>
      </c>
      <c r="B34" s="5"/>
      <c r="C34" s="5"/>
      <c r="D34" s="5"/>
      <c r="E34" s="5"/>
      <c r="F34" s="5"/>
      <c r="G34" s="5"/>
      <c r="H34" s="5"/>
      <c r="I34" s="5"/>
      <c r="J34" s="5"/>
      <c r="K34" s="5"/>
      <c r="L34" s="5"/>
    </row>
    <row r="36" spans="1:12" x14ac:dyDescent="0.25">
      <c r="B36" s="37" t="s">
        <v>516</v>
      </c>
    </row>
    <row r="37" spans="1:12" x14ac:dyDescent="0.25">
      <c r="B37" s="15" t="s">
        <v>95</v>
      </c>
      <c r="C37" s="16">
        <v>350</v>
      </c>
    </row>
    <row r="38" spans="1:12" ht="24" x14ac:dyDescent="0.25">
      <c r="B38" s="8" t="s">
        <v>297</v>
      </c>
      <c r="C38" s="8" t="s">
        <v>504</v>
      </c>
      <c r="D38" s="8" t="s">
        <v>505</v>
      </c>
      <c r="E38" s="8" t="s">
        <v>506</v>
      </c>
      <c r="F38" s="8"/>
      <c r="G38" s="8"/>
      <c r="H38" s="8" t="s">
        <v>287</v>
      </c>
    </row>
    <row r="39" spans="1:12" x14ac:dyDescent="0.25">
      <c r="B39" s="15" t="s">
        <v>507</v>
      </c>
      <c r="C39" s="19">
        <v>0</v>
      </c>
      <c r="D39" s="19">
        <v>0</v>
      </c>
      <c r="E39" s="19">
        <v>0.1</v>
      </c>
      <c r="F39" s="36"/>
      <c r="G39" s="36"/>
      <c r="H39" s="24">
        <f>C39*D39*E39</f>
        <v>0</v>
      </c>
    </row>
    <row r="40" spans="1:12" x14ac:dyDescent="0.25">
      <c r="B40" s="15" t="s">
        <v>197</v>
      </c>
      <c r="G40" s="20">
        <f>ROUNDUP(H39*C37/POIDS_SAC_CIMENT,0)</f>
        <v>0</v>
      </c>
      <c r="H40" s="40" t="s">
        <v>306</v>
      </c>
    </row>
    <row r="41" spans="1:12" x14ac:dyDescent="0.25">
      <c r="B41" s="15" t="s">
        <v>201</v>
      </c>
      <c r="G41" s="24">
        <f>H39*COEF_GRAVIER_VOL*DENSITE_GRAVIER</f>
        <v>0</v>
      </c>
      <c r="H41" s="40" t="s">
        <v>307</v>
      </c>
    </row>
    <row r="42" spans="1:12" x14ac:dyDescent="0.25">
      <c r="B42" s="15" t="s">
        <v>199</v>
      </c>
      <c r="G42" s="24">
        <f>H39*COEF_SABLE_VOL*DENSITE_SABLE</f>
        <v>0</v>
      </c>
      <c r="H42" s="40" t="s">
        <v>307</v>
      </c>
    </row>
    <row r="43" spans="1:12" x14ac:dyDescent="0.25">
      <c r="B43" s="15" t="s">
        <v>308</v>
      </c>
      <c r="G43" s="20">
        <f>H39*C37/EAU_PAR_DOSAGE</f>
        <v>0</v>
      </c>
      <c r="H43" s="40" t="s">
        <v>309</v>
      </c>
    </row>
    <row r="44" spans="1:12" ht="24" x14ac:dyDescent="0.25">
      <c r="B44" s="8"/>
      <c r="C44" s="8" t="s">
        <v>427</v>
      </c>
      <c r="D44" s="8" t="s">
        <v>316</v>
      </c>
      <c r="E44" s="8" t="s">
        <v>429</v>
      </c>
      <c r="F44" s="8" t="s">
        <v>508</v>
      </c>
      <c r="G44" s="8" t="s">
        <v>320</v>
      </c>
      <c r="H44" s="8" t="s">
        <v>321</v>
      </c>
    </row>
    <row r="45" spans="1:12" x14ac:dyDescent="0.25">
      <c r="B45" s="36"/>
      <c r="C45" s="32">
        <v>10</v>
      </c>
      <c r="D45" s="33">
        <v>0.15</v>
      </c>
      <c r="E45" s="20">
        <f>IF(D39=0,0,ROUNDUP(D39/D45+1,0))</f>
        <v>0</v>
      </c>
      <c r="F45" s="24">
        <f>C39-2*ENROBAGE</f>
        <v>-0.04</v>
      </c>
      <c r="G45" s="20">
        <f>IF(F45&lt;=LONG_BARRE_UTILE,ROUNDUP(E45/MAX(1,INT(LONG_BARRE_UTILE/F45)),0),E45+ROUNDUP(E45/MAX(1,INT(LONG_BARRE_UTILE/(F45+ROUND((C45/1000)*INDEX(TAB_NUANCE_COEF,MATCH(NUANCE_HA_DEFAUT,TAB_NUANCE_NOM,0)),3)-LONG_BARRE_UTILE))),0))</f>
        <v>0</v>
      </c>
      <c r="H45" s="21">
        <f>G45*LONG_BARRE_COMMERCIALE*IFERROR(INDEX(TAB_ACIER_POIDS,MATCH(C45,TAB_ACIER_DIAM,0)),0)</f>
        <v>0</v>
      </c>
    </row>
    <row r="46" spans="1:12" ht="24" x14ac:dyDescent="0.25">
      <c r="B46" s="8"/>
      <c r="C46" s="8" t="s">
        <v>427</v>
      </c>
      <c r="D46" s="8" t="s">
        <v>316</v>
      </c>
      <c r="E46" s="8" t="s">
        <v>429</v>
      </c>
      <c r="F46" s="8" t="s">
        <v>508</v>
      </c>
      <c r="G46" s="8" t="s">
        <v>320</v>
      </c>
      <c r="H46" s="8" t="s">
        <v>321</v>
      </c>
    </row>
    <row r="47" spans="1:12" x14ac:dyDescent="0.25">
      <c r="B47" s="36"/>
      <c r="C47" s="32">
        <v>10</v>
      </c>
      <c r="D47" s="33">
        <v>0.15</v>
      </c>
      <c r="E47" s="20">
        <f>IF(C39=0,0,ROUNDUP(C39/D47+1,0))</f>
        <v>0</v>
      </c>
      <c r="F47" s="24">
        <f>D39-2*ENROBAGE</f>
        <v>-0.04</v>
      </c>
      <c r="G47" s="20">
        <f>IF(F47&lt;=LONG_BARRE_UTILE,ROUNDUP(E47/MAX(1,INT(LONG_BARRE_UTILE/F47)),0),E47+ROUNDUP(E47/MAX(1,INT(LONG_BARRE_UTILE/(F47+ROUND((C47/1000)*INDEX(TAB_NUANCE_COEF,MATCH(NUANCE_HA_DEFAUT,TAB_NUANCE_NOM,0)),3)-LONG_BARRE_UTILE))),0))</f>
        <v>0</v>
      </c>
      <c r="H47" s="21">
        <f>G47*LONG_BARRE_COMMERCIALE*IFERROR(INDEX(TAB_ACIER_POIDS,MATCH(C47,TAB_ACIER_DIAM,0)),0)</f>
        <v>0</v>
      </c>
    </row>
    <row r="48" spans="1:12" x14ac:dyDescent="0.25">
      <c r="B48" s="15" t="s">
        <v>385</v>
      </c>
      <c r="G48" s="21">
        <f>(H45+H47)*FIL_LIGATURE_PCT</f>
        <v>0</v>
      </c>
      <c r="H48" s="40" t="s">
        <v>69</v>
      </c>
    </row>
    <row r="49" spans="1:12" x14ac:dyDescent="0.25">
      <c r="B49" s="15" t="s">
        <v>509</v>
      </c>
      <c r="G49" s="24">
        <f>C39*D39*RATIO_COFFRAGE_DALLE</f>
        <v>0</v>
      </c>
      <c r="H49" s="40" t="s">
        <v>269</v>
      </c>
    </row>
    <row r="50" spans="1:12" x14ac:dyDescent="0.25">
      <c r="B50" s="15" t="s">
        <v>354</v>
      </c>
      <c r="G50" s="20">
        <f>ROUNDUP((G49/(PLANCHE_L*PLANCHE_LARGEUR))*MAJORATION_ACHAT,0)</f>
        <v>0</v>
      </c>
    </row>
    <row r="51" spans="1:12" x14ac:dyDescent="0.25">
      <c r="B51" s="15" t="s">
        <v>336</v>
      </c>
      <c r="G51" s="24">
        <f>G50*PLANCHE_L*PLANCHE_LARGEUR*PLANCHE_e</f>
        <v>0</v>
      </c>
    </row>
    <row r="52" spans="1:12" x14ac:dyDescent="0.25">
      <c r="B52" s="15" t="s">
        <v>432</v>
      </c>
      <c r="G52" s="24">
        <f>G51*TRAVERSES_PCT</f>
        <v>0</v>
      </c>
      <c r="H52" s="20">
        <f>ROUNDUP(G52/CHEVRON_TRAV_V1,0)</f>
        <v>0</v>
      </c>
      <c r="I52" s="40" t="s">
        <v>338</v>
      </c>
    </row>
    <row r="53" spans="1:12" x14ac:dyDescent="0.25">
      <c r="B53" s="15" t="s">
        <v>433</v>
      </c>
      <c r="G53" s="24">
        <f>G51+G52</f>
        <v>0</v>
      </c>
      <c r="H53" s="40" t="s">
        <v>204</v>
      </c>
    </row>
    <row r="54" spans="1:12" x14ac:dyDescent="0.25">
      <c r="B54" s="15" t="s">
        <v>340</v>
      </c>
      <c r="G54" s="21">
        <f>((G51/PLANCHE_e)+(G52/PLANCHE_e))*CLOUS_COFFRAGE_KGM2</f>
        <v>0</v>
      </c>
      <c r="H54" s="40" t="s">
        <v>69</v>
      </c>
    </row>
    <row r="56" spans="1:12" x14ac:dyDescent="0.25">
      <c r="B56" s="37" t="s">
        <v>517</v>
      </c>
    </row>
    <row r="57" spans="1:12" ht="24" x14ac:dyDescent="0.25">
      <c r="B57" s="8" t="s">
        <v>297</v>
      </c>
      <c r="C57" s="8" t="s">
        <v>283</v>
      </c>
      <c r="D57" s="8" t="s">
        <v>284</v>
      </c>
      <c r="E57" s="8" t="s">
        <v>123</v>
      </c>
      <c r="F57" s="8"/>
      <c r="G57" s="8" t="s">
        <v>511</v>
      </c>
      <c r="H57" s="8" t="s">
        <v>67</v>
      </c>
    </row>
    <row r="58" spans="1:12" x14ac:dyDescent="0.25">
      <c r="B58" s="15" t="s">
        <v>512</v>
      </c>
      <c r="C58" s="19">
        <v>9.65</v>
      </c>
      <c r="D58" s="19">
        <v>7.15</v>
      </c>
      <c r="E58" s="31" t="s">
        <v>513</v>
      </c>
      <c r="F58" s="36"/>
      <c r="G58" s="24">
        <f>C58*D58</f>
        <v>68.997500000000002</v>
      </c>
      <c r="H58" s="40" t="s">
        <v>269</v>
      </c>
    </row>
    <row r="59" spans="1:12" ht="15" customHeight="1" x14ac:dyDescent="0.25">
      <c r="A59" s="3" t="s">
        <v>514</v>
      </c>
      <c r="B59" s="3"/>
      <c r="C59" s="3"/>
      <c r="D59" s="3"/>
      <c r="E59" s="3"/>
      <c r="F59" s="3"/>
      <c r="G59" s="3"/>
      <c r="H59" s="3"/>
      <c r="I59" s="3"/>
      <c r="J59" s="3"/>
      <c r="K59" s="3"/>
      <c r="L59" s="3"/>
    </row>
    <row r="61" spans="1:12" ht="15" customHeight="1" x14ac:dyDescent="0.25">
      <c r="A61" s="5" t="s">
        <v>518</v>
      </c>
      <c r="B61" s="5"/>
      <c r="C61" s="5"/>
      <c r="D61" s="5"/>
      <c r="E61" s="5"/>
      <c r="F61" s="5"/>
      <c r="G61" s="5"/>
      <c r="H61" s="5"/>
      <c r="I61" s="5"/>
      <c r="J61" s="5"/>
      <c r="K61" s="5"/>
      <c r="L61" s="5"/>
    </row>
    <row r="63" spans="1:12" x14ac:dyDescent="0.25">
      <c r="B63" s="8" t="s">
        <v>65</v>
      </c>
      <c r="C63" s="8"/>
      <c r="D63" s="8"/>
      <c r="E63" s="8"/>
      <c r="F63" s="8"/>
      <c r="G63" s="8" t="s">
        <v>305</v>
      </c>
      <c r="H63" s="8" t="s">
        <v>67</v>
      </c>
    </row>
    <row r="64" spans="1:12" ht="24" x14ac:dyDescent="0.25">
      <c r="B64" s="37" t="s">
        <v>519</v>
      </c>
      <c r="G64" s="42">
        <f>H12+H39</f>
        <v>6.8997500000000009</v>
      </c>
      <c r="H64" s="40" t="s">
        <v>204</v>
      </c>
    </row>
    <row r="65" spans="2:8" x14ac:dyDescent="0.25">
      <c r="B65" s="37" t="s">
        <v>520</v>
      </c>
      <c r="G65" s="42">
        <f>G31+G58</f>
        <v>68.997500000000002</v>
      </c>
      <c r="H65" s="40" t="s">
        <v>269</v>
      </c>
    </row>
    <row r="66" spans="2:8" x14ac:dyDescent="0.25">
      <c r="B66" s="37" t="s">
        <v>521</v>
      </c>
      <c r="G66" s="23">
        <f>G13+G40</f>
        <v>49</v>
      </c>
      <c r="H66" s="40" t="s">
        <v>306</v>
      </c>
    </row>
    <row r="67" spans="2:8" x14ac:dyDescent="0.25">
      <c r="B67" s="37" t="s">
        <v>522</v>
      </c>
      <c r="G67" s="42">
        <f>G14+G41</f>
        <v>8.8316800000000022</v>
      </c>
      <c r="H67" s="40" t="s">
        <v>307</v>
      </c>
    </row>
    <row r="68" spans="2:8" x14ac:dyDescent="0.25">
      <c r="B68" s="37" t="s">
        <v>523</v>
      </c>
      <c r="G68" s="42">
        <f>G15+G42</f>
        <v>4.1398500000000009</v>
      </c>
      <c r="H68" s="40" t="s">
        <v>307</v>
      </c>
    </row>
    <row r="69" spans="2:8" x14ac:dyDescent="0.25">
      <c r="B69" s="37" t="s">
        <v>524</v>
      </c>
      <c r="G69" s="23">
        <f>G16+G43</f>
        <v>1207.4562500000002</v>
      </c>
      <c r="H69" s="40" t="s">
        <v>309</v>
      </c>
    </row>
    <row r="70" spans="2:8" x14ac:dyDescent="0.25">
      <c r="B70" s="37" t="s">
        <v>406</v>
      </c>
      <c r="G70" s="23">
        <f>G23+G50</f>
        <v>95</v>
      </c>
      <c r="H70" s="40" t="s">
        <v>407</v>
      </c>
    </row>
    <row r="71" spans="2:8" x14ac:dyDescent="0.25">
      <c r="B71" s="37" t="s">
        <v>408</v>
      </c>
      <c r="G71" s="23">
        <f>H25+H52</f>
        <v>69</v>
      </c>
      <c r="H71" s="40" t="s">
        <v>407</v>
      </c>
    </row>
    <row r="72" spans="2:8" x14ac:dyDescent="0.25">
      <c r="B72" s="37" t="s">
        <v>409</v>
      </c>
      <c r="G72" s="42">
        <f>G26+G53</f>
        <v>5.1300000000000008</v>
      </c>
      <c r="H72" s="40" t="s">
        <v>204</v>
      </c>
    </row>
    <row r="73" spans="2:8" x14ac:dyDescent="0.25">
      <c r="B73" s="37" t="s">
        <v>340</v>
      </c>
      <c r="G73" s="42">
        <f>G27+G54</f>
        <v>15.389999999999999</v>
      </c>
      <c r="H73" s="40" t="s">
        <v>69</v>
      </c>
    </row>
    <row r="74" spans="2:8" x14ac:dyDescent="0.25">
      <c r="B74" s="37" t="s">
        <v>410</v>
      </c>
      <c r="G74" s="42">
        <f>G21+G48</f>
        <v>42.573000000000008</v>
      </c>
      <c r="H74" s="40" t="s">
        <v>69</v>
      </c>
    </row>
    <row r="76" spans="2:8" ht="24" x14ac:dyDescent="0.25">
      <c r="B76" s="8" t="s">
        <v>525</v>
      </c>
      <c r="C76" s="8" t="s">
        <v>108</v>
      </c>
      <c r="D76" s="8"/>
      <c r="E76" s="8"/>
      <c r="F76" s="8"/>
      <c r="G76" s="8" t="s">
        <v>320</v>
      </c>
      <c r="H76" s="8" t="s">
        <v>321</v>
      </c>
    </row>
    <row r="77" spans="2:8" x14ac:dyDescent="0.25">
      <c r="B77" s="15" t="s">
        <v>526</v>
      </c>
      <c r="C77" s="41">
        <f>C18</f>
        <v>10</v>
      </c>
      <c r="G77" s="20">
        <f>G18</f>
        <v>49</v>
      </c>
      <c r="H77" s="21">
        <f>H18</f>
        <v>362.79599999999999</v>
      </c>
    </row>
    <row r="78" spans="2:8" x14ac:dyDescent="0.25">
      <c r="B78" s="15" t="s">
        <v>527</v>
      </c>
      <c r="C78" s="41">
        <f>C20</f>
        <v>10</v>
      </c>
      <c r="G78" s="20">
        <f>G20</f>
        <v>66</v>
      </c>
      <c r="H78" s="21">
        <f>H20</f>
        <v>488.66399999999999</v>
      </c>
    </row>
    <row r="79" spans="2:8" x14ac:dyDescent="0.25">
      <c r="B79" s="15" t="s">
        <v>528</v>
      </c>
      <c r="C79" s="41">
        <f>C45</f>
        <v>10</v>
      </c>
      <c r="G79" s="20">
        <f>G45</f>
        <v>0</v>
      </c>
      <c r="H79" s="21">
        <f>H45</f>
        <v>0</v>
      </c>
    </row>
    <row r="80" spans="2:8" x14ac:dyDescent="0.25">
      <c r="B80" s="15" t="s">
        <v>529</v>
      </c>
      <c r="C80" s="41">
        <f>C47</f>
        <v>10</v>
      </c>
      <c r="G80" s="20">
        <f>G47</f>
        <v>0</v>
      </c>
      <c r="H80" s="21">
        <f>H47</f>
        <v>0</v>
      </c>
    </row>
    <row r="81" spans="1:12" ht="15" customHeight="1" x14ac:dyDescent="0.25">
      <c r="A81" s="2" t="s">
        <v>530</v>
      </c>
      <c r="B81" s="2"/>
      <c r="C81" s="2"/>
      <c r="D81" s="2"/>
      <c r="E81" s="2"/>
      <c r="F81" s="2"/>
      <c r="G81" s="34"/>
      <c r="H81" s="44">
        <f>H77+H78+H79+H80</f>
        <v>851.46</v>
      </c>
      <c r="I81" s="34"/>
      <c r="J81" s="34"/>
      <c r="K81" s="34"/>
      <c r="L81" s="34"/>
    </row>
  </sheetData>
  <mergeCells count="9">
    <mergeCell ref="A34:L34"/>
    <mergeCell ref="A59:L59"/>
    <mergeCell ref="A61:L61"/>
    <mergeCell ref="A81:F81"/>
    <mergeCell ref="A2:L2"/>
    <mergeCell ref="A3:L3"/>
    <mergeCell ref="A5:L5"/>
    <mergeCell ref="A7:L7"/>
    <mergeCell ref="A32:L3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48235"/>
  </sheetPr>
  <dimension ref="A2:L57"/>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baseColWidth="10" defaultColWidth="8.7109375" defaultRowHeight="15" x14ac:dyDescent="0.25"/>
  <cols>
    <col min="1" max="1" width="2" customWidth="1"/>
    <col min="2" max="2" width="34" customWidth="1"/>
    <col min="3" max="6" width="9" customWidth="1"/>
    <col min="7" max="12" width="11" customWidth="1"/>
  </cols>
  <sheetData>
    <row r="2" spans="1:12" ht="27.75" customHeight="1" x14ac:dyDescent="0.25">
      <c r="A2" s="7" t="s">
        <v>531</v>
      </c>
      <c r="B2" s="7"/>
      <c r="C2" s="7"/>
      <c r="D2" s="7"/>
      <c r="E2" s="7"/>
      <c r="F2" s="7"/>
      <c r="G2" s="7"/>
      <c r="H2" s="7"/>
      <c r="I2" s="7"/>
      <c r="J2" s="7"/>
      <c r="K2" s="7"/>
      <c r="L2" s="7"/>
    </row>
    <row r="3" spans="1:12" ht="15" customHeight="1" x14ac:dyDescent="0.25">
      <c r="A3" s="6" t="s">
        <v>532</v>
      </c>
      <c r="B3" s="6"/>
      <c r="C3" s="6"/>
      <c r="D3" s="6"/>
      <c r="E3" s="6"/>
      <c r="F3" s="6"/>
      <c r="G3" s="6"/>
      <c r="H3" s="6"/>
      <c r="I3" s="6"/>
      <c r="J3" s="6"/>
      <c r="K3" s="6"/>
      <c r="L3" s="6"/>
    </row>
    <row r="5" spans="1:12" ht="15" customHeight="1" x14ac:dyDescent="0.25">
      <c r="A5" s="5" t="s">
        <v>533</v>
      </c>
      <c r="B5" s="5"/>
      <c r="C5" s="5"/>
      <c r="D5" s="5"/>
      <c r="E5" s="5"/>
      <c r="F5" s="5"/>
      <c r="G5" s="5"/>
      <c r="H5" s="5"/>
      <c r="I5" s="5"/>
      <c r="J5" s="5"/>
      <c r="K5" s="5"/>
      <c r="L5" s="5"/>
    </row>
    <row r="7" spans="1:12" ht="24" x14ac:dyDescent="0.25">
      <c r="B7" s="8" t="s">
        <v>297</v>
      </c>
      <c r="C7" s="8" t="s">
        <v>388</v>
      </c>
      <c r="D7" s="8"/>
      <c r="E7" s="8"/>
      <c r="F7" s="8"/>
      <c r="G7" s="8" t="s">
        <v>305</v>
      </c>
      <c r="H7" s="8" t="s">
        <v>67</v>
      </c>
    </row>
    <row r="8" spans="1:12" ht="24" x14ac:dyDescent="0.25">
      <c r="B8" s="15" t="s">
        <v>534</v>
      </c>
      <c r="C8" s="19">
        <v>159</v>
      </c>
      <c r="D8" s="36"/>
      <c r="E8" s="36"/>
      <c r="F8" s="36"/>
      <c r="G8" s="36"/>
      <c r="H8" s="36"/>
    </row>
    <row r="9" spans="1:12" x14ac:dyDescent="0.25">
      <c r="B9" s="15" t="s">
        <v>197</v>
      </c>
      <c r="G9" s="20">
        <f>ROUNDUP(C8*ENDUIT_CIMENT_KGM2/POIDS_SAC_CIMENT,0)</f>
        <v>26</v>
      </c>
      <c r="H9" s="40" t="s">
        <v>306</v>
      </c>
    </row>
    <row r="10" spans="1:12" x14ac:dyDescent="0.25">
      <c r="B10" s="15" t="s">
        <v>199</v>
      </c>
      <c r="G10" s="24">
        <f>(G9*POIDS_SAC_CIMENT/DOSAGE_MORTIER_MACONNERIE)*COEF_SABLE_MORTIER*DENSITE_SABLE</f>
        <v>6.5</v>
      </c>
      <c r="H10" s="40" t="s">
        <v>307</v>
      </c>
    </row>
    <row r="11" spans="1:12" x14ac:dyDescent="0.25">
      <c r="B11" s="15" t="s">
        <v>308</v>
      </c>
      <c r="G11" s="20">
        <f>(G9*POIDS_SAC_CIMENT)*RATIO_EAU_CIMENT_MORTIER</f>
        <v>650</v>
      </c>
      <c r="H11" s="40" t="s">
        <v>309</v>
      </c>
    </row>
    <row r="13" spans="1:12" ht="15" customHeight="1" x14ac:dyDescent="0.25">
      <c r="A13" s="3" t="s">
        <v>535</v>
      </c>
      <c r="B13" s="3"/>
      <c r="C13" s="3"/>
      <c r="D13" s="3"/>
      <c r="E13" s="3"/>
      <c r="F13" s="3"/>
      <c r="G13" s="3"/>
      <c r="H13" s="3"/>
      <c r="I13" s="3"/>
      <c r="J13" s="3"/>
      <c r="K13" s="3"/>
      <c r="L13" s="3"/>
    </row>
    <row r="15" spans="1:12" ht="15" customHeight="1" x14ac:dyDescent="0.25">
      <c r="A15" s="5" t="s">
        <v>536</v>
      </c>
      <c r="B15" s="5"/>
      <c r="C15" s="5"/>
      <c r="D15" s="5"/>
      <c r="E15" s="5"/>
      <c r="F15" s="5"/>
      <c r="G15" s="5"/>
      <c r="H15" s="5"/>
      <c r="I15" s="5"/>
      <c r="J15" s="5"/>
      <c r="K15" s="5"/>
      <c r="L15" s="5"/>
    </row>
    <row r="17" spans="1:12" ht="24" x14ac:dyDescent="0.25">
      <c r="B17" s="8" t="s">
        <v>297</v>
      </c>
      <c r="C17" s="8" t="s">
        <v>388</v>
      </c>
      <c r="D17" s="8"/>
      <c r="E17" s="8"/>
      <c r="F17" s="8"/>
      <c r="G17" s="8" t="s">
        <v>305</v>
      </c>
      <c r="H17" s="8" t="s">
        <v>67</v>
      </c>
    </row>
    <row r="18" spans="1:12" x14ac:dyDescent="0.25">
      <c r="B18" s="15" t="s">
        <v>537</v>
      </c>
      <c r="C18" s="19">
        <v>159</v>
      </c>
      <c r="D18" s="36"/>
      <c r="E18" s="36"/>
      <c r="F18" s="36"/>
      <c r="G18" s="36"/>
      <c r="H18" s="36"/>
    </row>
    <row r="19" spans="1:12" ht="15" customHeight="1" x14ac:dyDescent="0.25">
      <c r="A19" s="3" t="s">
        <v>538</v>
      </c>
      <c r="B19" s="3"/>
      <c r="C19" s="3"/>
      <c r="D19" s="3"/>
      <c r="E19" s="3"/>
      <c r="F19" s="3"/>
      <c r="G19" s="3"/>
      <c r="H19" s="3"/>
      <c r="I19" s="3"/>
      <c r="J19" s="3"/>
      <c r="K19" s="3"/>
      <c r="L19" s="3"/>
    </row>
    <row r="20" spans="1:12" x14ac:dyDescent="0.25">
      <c r="B20" s="15" t="s">
        <v>539</v>
      </c>
      <c r="G20" s="21">
        <f>C18/PEINTURE_LATEX_M2_KG</f>
        <v>39.75</v>
      </c>
      <c r="H20" s="40" t="s">
        <v>69</v>
      </c>
    </row>
    <row r="21" spans="1:12" ht="24" x14ac:dyDescent="0.25">
      <c r="B21" s="15" t="s">
        <v>540</v>
      </c>
      <c r="G21" s="21">
        <f>(C18/PEINTURE_CLASSIQUE_M2_L)*NB_COUCHES_PEINTURE</f>
        <v>31.8</v>
      </c>
      <c r="H21" s="40" t="s">
        <v>309</v>
      </c>
    </row>
    <row r="22" spans="1:12" x14ac:dyDescent="0.25">
      <c r="B22" s="15" t="s">
        <v>541</v>
      </c>
      <c r="G22" s="21">
        <f>(C18/CHAUX_M2_KG)*NB_COUCHES_PEINTURE</f>
        <v>53</v>
      </c>
      <c r="H22" s="40" t="s">
        <v>69</v>
      </c>
    </row>
    <row r="24" spans="1:12" ht="15" customHeight="1" x14ac:dyDescent="0.25">
      <c r="A24" s="5" t="s">
        <v>542</v>
      </c>
      <c r="B24" s="5"/>
      <c r="C24" s="5"/>
      <c r="D24" s="5"/>
      <c r="E24" s="5"/>
      <c r="F24" s="5"/>
      <c r="G24" s="5"/>
      <c r="H24" s="5"/>
      <c r="I24" s="5"/>
      <c r="J24" s="5"/>
      <c r="K24" s="5"/>
      <c r="L24" s="5"/>
    </row>
    <row r="26" spans="1:12" ht="36" x14ac:dyDescent="0.25">
      <c r="B26" s="8" t="s">
        <v>297</v>
      </c>
      <c r="C26" s="8" t="s">
        <v>388</v>
      </c>
      <c r="D26" s="8" t="s">
        <v>543</v>
      </c>
      <c r="E26" s="8"/>
      <c r="F26" s="8"/>
      <c r="G26" s="8" t="s">
        <v>305</v>
      </c>
      <c r="H26" s="8" t="s">
        <v>67</v>
      </c>
    </row>
    <row r="27" spans="1:12" x14ac:dyDescent="0.25">
      <c r="B27" s="15" t="s">
        <v>544</v>
      </c>
      <c r="C27" s="19">
        <v>69.05</v>
      </c>
      <c r="D27" s="38">
        <v>0.03</v>
      </c>
      <c r="E27" s="36"/>
      <c r="F27" s="36"/>
      <c r="G27" s="36"/>
      <c r="H27" s="36"/>
    </row>
    <row r="28" spans="1:12" ht="24" x14ac:dyDescent="0.25">
      <c r="B28" s="15" t="s">
        <v>545</v>
      </c>
      <c r="G28" s="20">
        <f>ROUNDUP((C27/CARREAUX_S1)*MAJORATION_CARRELAGE,0)</f>
        <v>844</v>
      </c>
      <c r="H28" s="40" t="s">
        <v>407</v>
      </c>
    </row>
    <row r="29" spans="1:12" x14ac:dyDescent="0.25">
      <c r="B29" s="15" t="s">
        <v>546</v>
      </c>
      <c r="G29" s="20">
        <f>ROUNDUP(G28/12,0)</f>
        <v>71</v>
      </c>
      <c r="H29" s="40" t="s">
        <v>547</v>
      </c>
    </row>
    <row r="30" spans="1:12" x14ac:dyDescent="0.25">
      <c r="B30" s="15" t="s">
        <v>233</v>
      </c>
      <c r="G30" s="21">
        <f>C27*CIMENT_COLLE_KGM2</f>
        <v>552.4</v>
      </c>
      <c r="H30" s="40" t="s">
        <v>69</v>
      </c>
    </row>
    <row r="31" spans="1:12" x14ac:dyDescent="0.25">
      <c r="B31" s="15" t="s">
        <v>548</v>
      </c>
      <c r="G31" s="24">
        <f>C27*(D27*100)*SABLE_MORTIER_L_CM_M2*DENSITE_SABLE/1000</f>
        <v>3.1072500000000001</v>
      </c>
      <c r="H31" s="40" t="s">
        <v>307</v>
      </c>
    </row>
    <row r="32" spans="1:12" x14ac:dyDescent="0.25">
      <c r="B32" s="15" t="s">
        <v>549</v>
      </c>
      <c r="G32" s="20">
        <f>ROUNDUP((C27*D27)*DOSAGE_MORTIER_MACONNERIE/POIDS_SAC_CIMENT,0)</f>
        <v>13</v>
      </c>
      <c r="H32" s="40" t="s">
        <v>306</v>
      </c>
    </row>
    <row r="34" spans="1:12" ht="15" customHeight="1" x14ac:dyDescent="0.25">
      <c r="A34" s="5" t="s">
        <v>550</v>
      </c>
      <c r="B34" s="5"/>
      <c r="C34" s="5"/>
      <c r="D34" s="5"/>
      <c r="E34" s="5"/>
      <c r="F34" s="5"/>
      <c r="G34" s="5"/>
      <c r="H34" s="5"/>
      <c r="I34" s="5"/>
      <c r="J34" s="5"/>
      <c r="K34" s="5"/>
      <c r="L34" s="5"/>
    </row>
    <row r="36" spans="1:12" ht="24" x14ac:dyDescent="0.25">
      <c r="B36" s="8" t="s">
        <v>297</v>
      </c>
      <c r="C36" s="8" t="s">
        <v>388</v>
      </c>
      <c r="D36" s="8"/>
      <c r="E36" s="8"/>
      <c r="F36" s="8"/>
      <c r="G36" s="8" t="s">
        <v>305</v>
      </c>
      <c r="H36" s="8" t="s">
        <v>67</v>
      </c>
    </row>
    <row r="37" spans="1:12" x14ac:dyDescent="0.25">
      <c r="B37" s="15" t="s">
        <v>551</v>
      </c>
      <c r="C37" s="19">
        <v>25</v>
      </c>
      <c r="D37" s="36"/>
      <c r="E37" s="36"/>
      <c r="F37" s="36"/>
      <c r="G37" s="36"/>
      <c r="H37" s="36"/>
    </row>
    <row r="38" spans="1:12" ht="24" x14ac:dyDescent="0.25">
      <c r="B38" s="15" t="s">
        <v>552</v>
      </c>
      <c r="G38" s="20">
        <f>ROUNDUP((C37/FAIENCE_S1)*MAJORATION_CARRELAGE,0)</f>
        <v>275</v>
      </c>
      <c r="H38" s="40" t="s">
        <v>407</v>
      </c>
    </row>
    <row r="39" spans="1:12" x14ac:dyDescent="0.25">
      <c r="B39" s="15" t="s">
        <v>553</v>
      </c>
      <c r="G39" s="20">
        <f>ROUNDUP(G38/10,0)</f>
        <v>28</v>
      </c>
      <c r="H39" s="40" t="s">
        <v>547</v>
      </c>
    </row>
    <row r="40" spans="1:12" x14ac:dyDescent="0.25">
      <c r="B40" s="15" t="s">
        <v>233</v>
      </c>
      <c r="G40" s="21">
        <f>C37*CIMENT_COLLE_KGM2</f>
        <v>200</v>
      </c>
      <c r="H40" s="40" t="s">
        <v>69</v>
      </c>
    </row>
    <row r="42" spans="1:12" ht="15" customHeight="1" x14ac:dyDescent="0.25">
      <c r="A42" s="5" t="s">
        <v>554</v>
      </c>
      <c r="B42" s="5"/>
      <c r="C42" s="5"/>
      <c r="D42" s="5"/>
      <c r="E42" s="5"/>
      <c r="F42" s="5"/>
      <c r="G42" s="5"/>
      <c r="H42" s="5"/>
      <c r="I42" s="5"/>
      <c r="J42" s="5"/>
      <c r="K42" s="5"/>
      <c r="L42" s="5"/>
    </row>
    <row r="44" spans="1:12" ht="24" x14ac:dyDescent="0.25">
      <c r="B44" s="8" t="s">
        <v>195</v>
      </c>
      <c r="C44" s="8"/>
      <c r="D44" s="8"/>
      <c r="E44" s="8"/>
      <c r="F44" s="8"/>
      <c r="G44" s="8" t="s">
        <v>405</v>
      </c>
      <c r="H44" s="8" t="s">
        <v>67</v>
      </c>
    </row>
    <row r="45" spans="1:12" x14ac:dyDescent="0.25">
      <c r="B45" s="37" t="s">
        <v>555</v>
      </c>
      <c r="G45" s="23">
        <f>G9+G32</f>
        <v>39</v>
      </c>
      <c r="H45" s="40" t="s">
        <v>306</v>
      </c>
    </row>
    <row r="46" spans="1:12" x14ac:dyDescent="0.25">
      <c r="B46" s="37" t="s">
        <v>556</v>
      </c>
      <c r="G46" s="42">
        <f>G10+G31</f>
        <v>9.6072500000000005</v>
      </c>
      <c r="H46" s="40" t="s">
        <v>307</v>
      </c>
    </row>
    <row r="47" spans="1:12" x14ac:dyDescent="0.25">
      <c r="B47" s="37" t="s">
        <v>308</v>
      </c>
      <c r="G47" s="23">
        <f>G11</f>
        <v>650</v>
      </c>
      <c r="H47" s="40" t="s">
        <v>309</v>
      </c>
    </row>
    <row r="48" spans="1:12" x14ac:dyDescent="0.25">
      <c r="B48" s="37" t="s">
        <v>557</v>
      </c>
      <c r="G48" s="43">
        <f>G30+G40</f>
        <v>752.4</v>
      </c>
      <c r="H48" s="40" t="s">
        <v>69</v>
      </c>
    </row>
    <row r="49" spans="1:12" x14ac:dyDescent="0.25">
      <c r="B49" s="37" t="s">
        <v>558</v>
      </c>
      <c r="G49" s="43">
        <f>G20</f>
        <v>39.75</v>
      </c>
      <c r="H49" s="40" t="s">
        <v>69</v>
      </c>
    </row>
    <row r="50" spans="1:12" x14ac:dyDescent="0.25">
      <c r="B50" s="37" t="s">
        <v>559</v>
      </c>
      <c r="G50" s="23">
        <f>G29</f>
        <v>71</v>
      </c>
      <c r="H50" s="40" t="s">
        <v>547</v>
      </c>
    </row>
    <row r="51" spans="1:12" x14ac:dyDescent="0.25">
      <c r="B51" s="37" t="s">
        <v>560</v>
      </c>
      <c r="G51" s="23">
        <f>G39</f>
        <v>28</v>
      </c>
      <c r="H51" s="40" t="s">
        <v>547</v>
      </c>
    </row>
    <row r="53" spans="1:12" ht="15" customHeight="1" x14ac:dyDescent="0.25">
      <c r="A53" s="3" t="s">
        <v>561</v>
      </c>
      <c r="B53" s="3"/>
      <c r="C53" s="3"/>
      <c r="D53" s="3"/>
      <c r="E53" s="3"/>
      <c r="F53" s="3"/>
      <c r="G53" s="3"/>
      <c r="H53" s="3"/>
      <c r="I53" s="3"/>
      <c r="J53" s="3"/>
      <c r="K53" s="3"/>
      <c r="L53" s="3"/>
    </row>
    <row r="54" spans="1:12" x14ac:dyDescent="0.25">
      <c r="B54" s="8" t="s">
        <v>511</v>
      </c>
      <c r="C54" s="8"/>
      <c r="D54" s="8"/>
      <c r="E54" s="8"/>
      <c r="F54" s="8"/>
      <c r="G54" s="8" t="s">
        <v>269</v>
      </c>
      <c r="H54" s="8"/>
    </row>
    <row r="55" spans="1:12" x14ac:dyDescent="0.25">
      <c r="B55" s="15" t="s">
        <v>562</v>
      </c>
      <c r="G55" s="21">
        <f>C8</f>
        <v>159</v>
      </c>
    </row>
    <row r="56" spans="1:12" x14ac:dyDescent="0.25">
      <c r="B56" s="15" t="s">
        <v>563</v>
      </c>
      <c r="G56" s="21">
        <f>C27</f>
        <v>69.05</v>
      </c>
    </row>
    <row r="57" spans="1:12" x14ac:dyDescent="0.25">
      <c r="B57" s="15" t="s">
        <v>560</v>
      </c>
      <c r="G57" s="21">
        <f>C37</f>
        <v>25</v>
      </c>
    </row>
  </sheetData>
  <mergeCells count="10">
    <mergeCell ref="A19:L19"/>
    <mergeCell ref="A24:L24"/>
    <mergeCell ref="A34:L34"/>
    <mergeCell ref="A42:L42"/>
    <mergeCell ref="A53:L53"/>
    <mergeCell ref="A2:L2"/>
    <mergeCell ref="A3:L3"/>
    <mergeCell ref="A5:L5"/>
    <mergeCell ref="A13:L13"/>
    <mergeCell ref="A15:L15"/>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548235"/>
  </sheetPr>
  <dimension ref="A2:L73"/>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baseColWidth="10" defaultColWidth="8.7109375" defaultRowHeight="15" x14ac:dyDescent="0.25"/>
  <cols>
    <col min="1" max="1" width="2" customWidth="1"/>
    <col min="2" max="2" width="34" customWidth="1"/>
    <col min="3" max="6" width="9" customWidth="1"/>
    <col min="7" max="12" width="11" customWidth="1"/>
  </cols>
  <sheetData>
    <row r="2" spans="1:12" ht="27.75" customHeight="1" x14ac:dyDescent="0.25">
      <c r="A2" s="7" t="s">
        <v>564</v>
      </c>
      <c r="B2" s="7"/>
      <c r="C2" s="7"/>
      <c r="D2" s="7"/>
      <c r="E2" s="7"/>
      <c r="F2" s="7"/>
      <c r="G2" s="7"/>
      <c r="H2" s="7"/>
      <c r="I2" s="7"/>
      <c r="J2" s="7"/>
      <c r="K2" s="7"/>
      <c r="L2" s="7"/>
    </row>
    <row r="3" spans="1:12" ht="15" customHeight="1" x14ac:dyDescent="0.25">
      <c r="A3" s="6" t="s">
        <v>565</v>
      </c>
      <c r="B3" s="6"/>
      <c r="C3" s="6"/>
      <c r="D3" s="6"/>
      <c r="E3" s="6"/>
      <c r="F3" s="6"/>
      <c r="G3" s="6"/>
      <c r="H3" s="6"/>
      <c r="I3" s="6"/>
      <c r="J3" s="6"/>
      <c r="K3" s="6"/>
      <c r="L3" s="6"/>
    </row>
    <row r="5" spans="1:12" ht="15" customHeight="1" x14ac:dyDescent="0.25">
      <c r="A5" s="5" t="s">
        <v>566</v>
      </c>
      <c r="B5" s="5"/>
      <c r="C5" s="5"/>
      <c r="D5" s="5"/>
      <c r="E5" s="5"/>
      <c r="F5" s="5"/>
      <c r="G5" s="5"/>
      <c r="H5" s="5"/>
      <c r="I5" s="5"/>
      <c r="J5" s="5"/>
      <c r="K5" s="5"/>
      <c r="L5" s="5"/>
    </row>
    <row r="7" spans="1:12" ht="20.85" customHeight="1" x14ac:dyDescent="0.25">
      <c r="A7" s="3" t="s">
        <v>567</v>
      </c>
      <c r="B7" s="3"/>
      <c r="C7" s="3"/>
      <c r="D7" s="3"/>
      <c r="E7" s="3"/>
      <c r="F7" s="3"/>
      <c r="G7" s="3"/>
      <c r="H7" s="3"/>
      <c r="I7" s="3"/>
      <c r="J7" s="3"/>
      <c r="K7" s="3"/>
      <c r="L7" s="3"/>
    </row>
    <row r="8" spans="1:12" x14ac:dyDescent="0.25">
      <c r="B8" s="8" t="s">
        <v>568</v>
      </c>
      <c r="C8" s="8" t="s">
        <v>66</v>
      </c>
      <c r="D8" s="8" t="s">
        <v>67</v>
      </c>
      <c r="E8" s="8"/>
      <c r="F8" s="8"/>
      <c r="G8" s="8"/>
      <c r="H8" s="8"/>
    </row>
    <row r="9" spans="1:12" x14ac:dyDescent="0.25">
      <c r="B9" s="15" t="s">
        <v>569</v>
      </c>
      <c r="C9" s="19">
        <v>7.15</v>
      </c>
      <c r="D9" s="40" t="s">
        <v>113</v>
      </c>
    </row>
    <row r="10" spans="1:12" x14ac:dyDescent="0.25">
      <c r="B10" s="15" t="s">
        <v>570</v>
      </c>
      <c r="C10" s="19">
        <v>9.65</v>
      </c>
      <c r="D10" s="40" t="s">
        <v>113</v>
      </c>
    </row>
    <row r="11" spans="1:12" x14ac:dyDescent="0.25">
      <c r="B11" s="15" t="s">
        <v>571</v>
      </c>
      <c r="C11" s="33">
        <v>0.5</v>
      </c>
      <c r="D11" s="40" t="s">
        <v>113</v>
      </c>
    </row>
    <row r="12" spans="1:12" ht="24" x14ac:dyDescent="0.25">
      <c r="B12" s="15" t="s">
        <v>572</v>
      </c>
      <c r="C12" s="33">
        <v>1.5</v>
      </c>
      <c r="D12" s="40" t="s">
        <v>113</v>
      </c>
    </row>
    <row r="13" spans="1:12" x14ac:dyDescent="0.25">
      <c r="B13" s="15" t="s">
        <v>573</v>
      </c>
      <c r="C13" s="33">
        <v>2.5</v>
      </c>
      <c r="D13" s="40" t="s">
        <v>113</v>
      </c>
    </row>
    <row r="14" spans="1:12" ht="24" x14ac:dyDescent="0.25">
      <c r="B14" s="15" t="s">
        <v>574</v>
      </c>
      <c r="C14" s="33">
        <v>0.08</v>
      </c>
      <c r="D14" s="33">
        <v>0.08</v>
      </c>
      <c r="E14" s="40" t="s">
        <v>575</v>
      </c>
    </row>
    <row r="16" spans="1:12" x14ac:dyDescent="0.25">
      <c r="B16" s="8" t="s">
        <v>27</v>
      </c>
      <c r="C16" s="8"/>
      <c r="D16" s="8"/>
      <c r="E16" s="8"/>
      <c r="F16" s="8"/>
      <c r="G16" s="8" t="s">
        <v>66</v>
      </c>
      <c r="H16" s="8" t="s">
        <v>67</v>
      </c>
    </row>
    <row r="17" spans="1:12" x14ac:dyDescent="0.25">
      <c r="B17" s="15" t="s">
        <v>576</v>
      </c>
      <c r="G17" s="20">
        <f>ROUNDUP(C10/C13+1,0)</f>
        <v>5</v>
      </c>
    </row>
    <row r="18" spans="1:12" x14ac:dyDescent="0.25">
      <c r="B18" s="15" t="s">
        <v>577</v>
      </c>
      <c r="G18" s="24">
        <f>C9+2*C11</f>
        <v>8.15</v>
      </c>
      <c r="H18" s="40" t="s">
        <v>113</v>
      </c>
    </row>
    <row r="19" spans="1:12" x14ac:dyDescent="0.25">
      <c r="B19" s="15" t="s">
        <v>578</v>
      </c>
      <c r="G19" s="24">
        <f>SQRT((G18/2)^2+C12^2)</f>
        <v>4.3423064147984762</v>
      </c>
      <c r="H19" s="40" t="s">
        <v>113</v>
      </c>
    </row>
    <row r="20" spans="1:12" ht="24" x14ac:dyDescent="0.25">
      <c r="B20" s="15" t="s">
        <v>579</v>
      </c>
      <c r="G20" s="24">
        <f>(G18+2*G19)*1.15</f>
        <v>19.359804754036496</v>
      </c>
      <c r="H20" s="40" t="s">
        <v>113</v>
      </c>
    </row>
    <row r="21" spans="1:12" x14ac:dyDescent="0.25">
      <c r="B21" s="15" t="s">
        <v>580</v>
      </c>
      <c r="G21" s="24">
        <f>G17*G20*C14*D14</f>
        <v>0.61951375212916793</v>
      </c>
      <c r="H21" s="40" t="s">
        <v>204</v>
      </c>
    </row>
    <row r="23" spans="1:12" ht="36" x14ac:dyDescent="0.25">
      <c r="B23" s="8" t="s">
        <v>581</v>
      </c>
      <c r="C23" s="8" t="s">
        <v>582</v>
      </c>
      <c r="D23" s="8" t="s">
        <v>283</v>
      </c>
      <c r="E23" s="8"/>
      <c r="F23" s="8"/>
      <c r="G23" s="8" t="s">
        <v>394</v>
      </c>
      <c r="H23" s="8" t="s">
        <v>67</v>
      </c>
    </row>
    <row r="24" spans="1:12" x14ac:dyDescent="0.25">
      <c r="B24" s="15" t="s">
        <v>583</v>
      </c>
      <c r="C24" s="32">
        <v>5</v>
      </c>
      <c r="D24" s="24">
        <f>C10+2*C11</f>
        <v>10.65</v>
      </c>
      <c r="E24" s="36"/>
      <c r="F24" s="36"/>
      <c r="G24" s="24">
        <f>C24*2*D24*C14*D14</f>
        <v>0.68159999999999998</v>
      </c>
      <c r="H24" s="40" t="s">
        <v>204</v>
      </c>
    </row>
    <row r="25" spans="1:12" ht="15" customHeight="1" x14ac:dyDescent="0.25">
      <c r="A25" s="2" t="s">
        <v>584</v>
      </c>
      <c r="B25" s="2"/>
      <c r="C25" s="2"/>
      <c r="D25" s="2"/>
      <c r="E25" s="2"/>
      <c r="F25" s="2"/>
      <c r="G25" s="35">
        <f>G21+G24</f>
        <v>1.3011137521291678</v>
      </c>
      <c r="H25" s="34"/>
      <c r="I25" s="34"/>
      <c r="J25" s="34"/>
      <c r="K25" s="34"/>
      <c r="L25" s="34"/>
    </row>
    <row r="26" spans="1:12" x14ac:dyDescent="0.25">
      <c r="B26" s="15" t="s">
        <v>585</v>
      </c>
      <c r="G26" s="21">
        <f>G25*CLOUS_CHARPENTE_KGM3</f>
        <v>26.022275042583356</v>
      </c>
      <c r="H26" s="40" t="s">
        <v>69</v>
      </c>
    </row>
    <row r="28" spans="1:12" ht="15" customHeight="1" x14ac:dyDescent="0.25">
      <c r="A28" s="5" t="s">
        <v>586</v>
      </c>
      <c r="B28" s="5"/>
      <c r="C28" s="5"/>
      <c r="D28" s="5"/>
      <c r="E28" s="5"/>
      <c r="F28" s="5"/>
      <c r="G28" s="5"/>
      <c r="H28" s="5"/>
      <c r="I28" s="5"/>
      <c r="J28" s="5"/>
      <c r="K28" s="5"/>
      <c r="L28" s="5"/>
    </row>
    <row r="30" spans="1:12" x14ac:dyDescent="0.25">
      <c r="B30" s="8" t="s">
        <v>297</v>
      </c>
      <c r="C30" s="8" t="s">
        <v>66</v>
      </c>
      <c r="D30" s="8" t="s">
        <v>67</v>
      </c>
      <c r="E30" s="8"/>
      <c r="F30" s="8"/>
      <c r="G30" s="8"/>
      <c r="H30" s="8"/>
    </row>
    <row r="31" spans="1:12" ht="24" x14ac:dyDescent="0.25">
      <c r="B31" s="15" t="s">
        <v>587</v>
      </c>
      <c r="C31" s="24">
        <f>(C10+2*C11)*(C9+2*C11)</f>
        <v>86.797500000000014</v>
      </c>
      <c r="D31" s="40" t="s">
        <v>269</v>
      </c>
    </row>
    <row r="32" spans="1:12" ht="24" x14ac:dyDescent="0.25">
      <c r="B32" s="15" t="s">
        <v>588</v>
      </c>
      <c r="C32" s="33">
        <v>0.85</v>
      </c>
      <c r="D32" s="40" t="s">
        <v>113</v>
      </c>
    </row>
    <row r="33" spans="1:12" x14ac:dyDescent="0.25">
      <c r="B33" s="15" t="s">
        <v>589</v>
      </c>
      <c r="C33" s="33">
        <v>3</v>
      </c>
      <c r="D33" s="40" t="s">
        <v>113</v>
      </c>
    </row>
    <row r="35" spans="1:12" x14ac:dyDescent="0.25">
      <c r="B35" s="8" t="s">
        <v>27</v>
      </c>
      <c r="C35" s="8"/>
      <c r="D35" s="8"/>
      <c r="E35" s="8"/>
      <c r="F35" s="8"/>
      <c r="G35" s="8" t="s">
        <v>66</v>
      </c>
      <c r="H35" s="8" t="s">
        <v>67</v>
      </c>
    </row>
    <row r="36" spans="1:12" x14ac:dyDescent="0.25">
      <c r="B36" s="15" t="s">
        <v>590</v>
      </c>
      <c r="G36" s="20">
        <f>ROUNDUP((C31/(C32*C33))*MAJORATION_ACHAT,0)*2</f>
        <v>76</v>
      </c>
      <c r="H36" s="40" t="s">
        <v>407</v>
      </c>
    </row>
    <row r="37" spans="1:12" x14ac:dyDescent="0.25">
      <c r="B37" s="15" t="s">
        <v>591</v>
      </c>
      <c r="C37" s="33">
        <v>2.5</v>
      </c>
      <c r="D37" s="40" t="s">
        <v>113</v>
      </c>
    </row>
    <row r="38" spans="1:12" x14ac:dyDescent="0.25">
      <c r="B38" s="15" t="s">
        <v>592</v>
      </c>
      <c r="G38" s="20">
        <f>ROUNDUP(C10/C37,0)+1</f>
        <v>5</v>
      </c>
      <c r="H38" s="40" t="s">
        <v>407</v>
      </c>
    </row>
    <row r="39" spans="1:12" x14ac:dyDescent="0.25">
      <c r="B39" s="15" t="s">
        <v>593</v>
      </c>
      <c r="G39" s="21">
        <f>(C31*2)*CLOUS_COUVERTURE_KGM2</f>
        <v>17.359500000000004</v>
      </c>
      <c r="H39" s="40" t="s">
        <v>69</v>
      </c>
    </row>
    <row r="41" spans="1:12" ht="15" customHeight="1" x14ac:dyDescent="0.25">
      <c r="A41" s="5" t="s">
        <v>594</v>
      </c>
      <c r="B41" s="5"/>
      <c r="C41" s="5"/>
      <c r="D41" s="5"/>
      <c r="E41" s="5"/>
      <c r="F41" s="5"/>
      <c r="G41" s="5"/>
      <c r="H41" s="5"/>
      <c r="I41" s="5"/>
      <c r="J41" s="5"/>
      <c r="K41" s="5"/>
      <c r="L41" s="5"/>
    </row>
    <row r="43" spans="1:12" ht="15" customHeight="1" x14ac:dyDescent="0.25">
      <c r="A43" s="3" t="s">
        <v>595</v>
      </c>
      <c r="B43" s="3"/>
      <c r="C43" s="3"/>
      <c r="D43" s="3"/>
      <c r="E43" s="3"/>
      <c r="F43" s="3"/>
      <c r="G43" s="3"/>
      <c r="H43" s="3"/>
      <c r="I43" s="3"/>
      <c r="J43" s="3"/>
      <c r="K43" s="3"/>
      <c r="L43" s="3"/>
    </row>
    <row r="44" spans="1:12" x14ac:dyDescent="0.25">
      <c r="B44" s="15" t="s">
        <v>95</v>
      </c>
      <c r="C44" s="16">
        <v>350</v>
      </c>
    </row>
    <row r="45" spans="1:12" ht="24" x14ac:dyDescent="0.25">
      <c r="B45" s="8" t="s">
        <v>596</v>
      </c>
      <c r="C45" s="8" t="s">
        <v>292</v>
      </c>
      <c r="D45" s="8" t="s">
        <v>374</v>
      </c>
      <c r="E45" s="8" t="s">
        <v>375</v>
      </c>
      <c r="F45" s="8"/>
      <c r="G45" s="8"/>
      <c r="H45" s="8" t="s">
        <v>362</v>
      </c>
    </row>
    <row r="46" spans="1:12" x14ac:dyDescent="0.25">
      <c r="B46" s="15" t="s">
        <v>597</v>
      </c>
      <c r="C46" s="19">
        <v>33.6</v>
      </c>
      <c r="D46" s="33">
        <v>0.15</v>
      </c>
      <c r="E46" s="33">
        <v>0.15</v>
      </c>
      <c r="F46" s="36"/>
      <c r="G46" s="36"/>
      <c r="H46" s="24">
        <f>C46*D46*E46</f>
        <v>0.75600000000000001</v>
      </c>
    </row>
    <row r="47" spans="1:12" x14ac:dyDescent="0.25">
      <c r="B47" s="15" t="s">
        <v>197</v>
      </c>
      <c r="G47" s="20">
        <f>ROUNDUP(H46*C44/POIDS_SAC_CIMENT,0)</f>
        <v>6</v>
      </c>
      <c r="H47" s="40" t="s">
        <v>306</v>
      </c>
    </row>
    <row r="48" spans="1:12" x14ac:dyDescent="0.25">
      <c r="B48" s="15" t="s">
        <v>201</v>
      </c>
      <c r="G48" s="24">
        <f>H46*COEF_GRAVIER_VOL*DENSITE_GRAVIER</f>
        <v>0.9676800000000001</v>
      </c>
      <c r="H48" s="40" t="s">
        <v>307</v>
      </c>
    </row>
    <row r="49" spans="1:12" x14ac:dyDescent="0.25">
      <c r="B49" s="15" t="s">
        <v>199</v>
      </c>
      <c r="G49" s="24">
        <f>H46*COEF_SABLE_VOL*DENSITE_SABLE</f>
        <v>0.4536</v>
      </c>
      <c r="H49" s="40" t="s">
        <v>307</v>
      </c>
    </row>
    <row r="50" spans="1:12" x14ac:dyDescent="0.25">
      <c r="B50" s="15" t="s">
        <v>308</v>
      </c>
      <c r="G50" s="20">
        <f>H46*C44/EAU_PAR_DOSAGE</f>
        <v>132.30000000000001</v>
      </c>
      <c r="H50" s="40" t="s">
        <v>309</v>
      </c>
    </row>
    <row r="51" spans="1:12" x14ac:dyDescent="0.25">
      <c r="B51" s="15" t="s">
        <v>598</v>
      </c>
      <c r="D51" s="33">
        <v>0.6</v>
      </c>
      <c r="E51" s="40" t="s">
        <v>599</v>
      </c>
      <c r="G51" s="24">
        <f>C46*D51</f>
        <v>20.16</v>
      </c>
      <c r="H51" s="40" t="s">
        <v>269</v>
      </c>
    </row>
    <row r="52" spans="1:12" x14ac:dyDescent="0.25">
      <c r="B52" s="15" t="s">
        <v>600</v>
      </c>
      <c r="G52" s="24">
        <f>G51*2</f>
        <v>40.32</v>
      </c>
      <c r="H52" s="40" t="s">
        <v>269</v>
      </c>
    </row>
    <row r="54" spans="1:12" ht="24" x14ac:dyDescent="0.25">
      <c r="B54" s="8" t="s">
        <v>601</v>
      </c>
      <c r="C54" s="8" t="s">
        <v>283</v>
      </c>
      <c r="D54" s="8" t="s">
        <v>284</v>
      </c>
      <c r="E54" s="8"/>
      <c r="F54" s="8"/>
      <c r="G54" s="8" t="s">
        <v>511</v>
      </c>
      <c r="H54" s="8" t="s">
        <v>67</v>
      </c>
    </row>
    <row r="55" spans="1:12" x14ac:dyDescent="0.25">
      <c r="B55" s="15" t="s">
        <v>275</v>
      </c>
      <c r="C55" s="19">
        <v>9.65</v>
      </c>
      <c r="D55" s="19">
        <v>7.15</v>
      </c>
      <c r="E55" s="36"/>
      <c r="F55" s="36"/>
      <c r="G55" s="24">
        <f>C55*D55</f>
        <v>68.997500000000002</v>
      </c>
      <c r="H55" s="40" t="s">
        <v>269</v>
      </c>
    </row>
    <row r="57" spans="1:12" ht="15" customHeight="1" x14ac:dyDescent="0.25">
      <c r="A57" s="5" t="s">
        <v>602</v>
      </c>
      <c r="B57" s="5"/>
      <c r="C57" s="5"/>
      <c r="D57" s="5"/>
      <c r="E57" s="5"/>
      <c r="F57" s="5"/>
      <c r="G57" s="5"/>
      <c r="H57" s="5"/>
      <c r="I57" s="5"/>
      <c r="J57" s="5"/>
      <c r="K57" s="5"/>
      <c r="L57" s="5"/>
    </row>
    <row r="59" spans="1:12" x14ac:dyDescent="0.25">
      <c r="B59" s="8" t="s">
        <v>65</v>
      </c>
      <c r="C59" s="8"/>
      <c r="D59" s="8"/>
      <c r="E59" s="8"/>
      <c r="F59" s="8"/>
      <c r="G59" s="8" t="s">
        <v>305</v>
      </c>
      <c r="H59" s="8" t="s">
        <v>67</v>
      </c>
    </row>
    <row r="60" spans="1:12" x14ac:dyDescent="0.25">
      <c r="B60" s="37" t="s">
        <v>603</v>
      </c>
      <c r="G60" s="42">
        <f>G25</f>
        <v>1.3011137521291678</v>
      </c>
      <c r="H60" s="40" t="s">
        <v>204</v>
      </c>
    </row>
    <row r="61" spans="1:12" x14ac:dyDescent="0.25">
      <c r="B61" s="37" t="s">
        <v>585</v>
      </c>
      <c r="G61" s="43">
        <f>G26</f>
        <v>26.022275042583356</v>
      </c>
      <c r="H61" s="40" t="s">
        <v>69</v>
      </c>
    </row>
    <row r="62" spans="1:12" x14ac:dyDescent="0.25">
      <c r="B62" s="37" t="s">
        <v>604</v>
      </c>
      <c r="G62" s="42">
        <f>C31</f>
        <v>86.797500000000014</v>
      </c>
      <c r="H62" s="40" t="s">
        <v>269</v>
      </c>
    </row>
    <row r="63" spans="1:12" x14ac:dyDescent="0.25">
      <c r="B63" s="37" t="s">
        <v>605</v>
      </c>
      <c r="G63" s="23">
        <f>G36</f>
        <v>76</v>
      </c>
      <c r="H63" s="40" t="s">
        <v>407</v>
      </c>
    </row>
    <row r="64" spans="1:12" x14ac:dyDescent="0.25">
      <c r="B64" s="37" t="s">
        <v>606</v>
      </c>
      <c r="G64" s="23">
        <f>G38</f>
        <v>5</v>
      </c>
      <c r="H64" s="40" t="s">
        <v>407</v>
      </c>
    </row>
    <row r="65" spans="2:8" x14ac:dyDescent="0.25">
      <c r="B65" s="37" t="s">
        <v>593</v>
      </c>
      <c r="G65" s="43">
        <f>G39</f>
        <v>17.359500000000004</v>
      </c>
      <c r="H65" s="40" t="s">
        <v>69</v>
      </c>
    </row>
    <row r="66" spans="2:8" x14ac:dyDescent="0.25">
      <c r="B66" s="37" t="s">
        <v>607</v>
      </c>
      <c r="G66" s="42">
        <f>H46</f>
        <v>0.75600000000000001</v>
      </c>
      <c r="H66" s="40" t="s">
        <v>204</v>
      </c>
    </row>
    <row r="67" spans="2:8" x14ac:dyDescent="0.25">
      <c r="B67" s="37" t="s">
        <v>608</v>
      </c>
      <c r="G67" s="42">
        <f>G51</f>
        <v>20.16</v>
      </c>
      <c r="H67" s="40" t="s">
        <v>269</v>
      </c>
    </row>
    <row r="68" spans="2:8" x14ac:dyDescent="0.25">
      <c r="B68" s="37" t="s">
        <v>609</v>
      </c>
      <c r="G68" s="42">
        <f>G52</f>
        <v>40.32</v>
      </c>
      <c r="H68" s="40" t="s">
        <v>269</v>
      </c>
    </row>
    <row r="69" spans="2:8" x14ac:dyDescent="0.25">
      <c r="B69" s="37" t="s">
        <v>610</v>
      </c>
      <c r="G69" s="42">
        <f>G55</f>
        <v>68.997500000000002</v>
      </c>
      <c r="H69" s="40" t="s">
        <v>269</v>
      </c>
    </row>
    <row r="70" spans="2:8" x14ac:dyDescent="0.25">
      <c r="B70" s="37" t="s">
        <v>611</v>
      </c>
      <c r="G70" s="23">
        <f>G47</f>
        <v>6</v>
      </c>
      <c r="H70" s="40" t="s">
        <v>306</v>
      </c>
    </row>
    <row r="71" spans="2:8" x14ac:dyDescent="0.25">
      <c r="B71" s="37" t="s">
        <v>612</v>
      </c>
      <c r="G71" s="42">
        <f>G48</f>
        <v>0.9676800000000001</v>
      </c>
      <c r="H71" s="40" t="s">
        <v>307</v>
      </c>
    </row>
    <row r="72" spans="2:8" x14ac:dyDescent="0.25">
      <c r="B72" s="37" t="s">
        <v>613</v>
      </c>
      <c r="G72" s="42">
        <f>G49</f>
        <v>0.4536</v>
      </c>
      <c r="H72" s="40" t="s">
        <v>307</v>
      </c>
    </row>
    <row r="73" spans="2:8" x14ac:dyDescent="0.25">
      <c r="B73" s="37" t="s">
        <v>614</v>
      </c>
      <c r="G73" s="23">
        <f>G50</f>
        <v>132.30000000000001</v>
      </c>
      <c r="H73" s="40" t="s">
        <v>309</v>
      </c>
    </row>
  </sheetData>
  <mergeCells count="9">
    <mergeCell ref="A28:L28"/>
    <mergeCell ref="A41:L41"/>
    <mergeCell ref="A43:L43"/>
    <mergeCell ref="A57:L57"/>
    <mergeCell ref="A2:L2"/>
    <mergeCell ref="A3:L3"/>
    <mergeCell ref="A5:L5"/>
    <mergeCell ref="A7:L7"/>
    <mergeCell ref="A25:F25"/>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BF8F00"/>
  </sheetPr>
  <dimension ref="A2:L129"/>
  <sheetViews>
    <sheetView showGridLines="0" zoomScaleNormal="100" workbookViewId="0">
      <pane xSplit="1" ySplit="6" topLeftCell="B7" activePane="bottomRight" state="frozen"/>
      <selection pane="topRight" activeCell="B1" sqref="B1"/>
      <selection pane="bottomLeft" activeCell="A7" sqref="A7"/>
      <selection pane="bottomRight"/>
    </sheetView>
  </sheetViews>
  <sheetFormatPr baseColWidth="10" defaultColWidth="8.7109375" defaultRowHeight="15" x14ac:dyDescent="0.25"/>
  <cols>
    <col min="1" max="1" width="2" customWidth="1"/>
    <col min="2" max="2" width="36" customWidth="1"/>
    <col min="3" max="5" width="13" customWidth="1"/>
    <col min="6" max="6" width="30" customWidth="1"/>
  </cols>
  <sheetData>
    <row r="2" spans="1:6" ht="30" customHeight="1" x14ac:dyDescent="0.25">
      <c r="A2" s="7" t="s">
        <v>615</v>
      </c>
      <c r="B2" s="7"/>
      <c r="C2" s="7"/>
      <c r="D2" s="7"/>
      <c r="E2" s="7"/>
      <c r="F2" s="7"/>
    </row>
    <row r="3" spans="1:6" ht="15" customHeight="1" x14ac:dyDescent="0.25">
      <c r="A3" s="6" t="s">
        <v>616</v>
      </c>
      <c r="B3" s="6"/>
      <c r="C3" s="6"/>
      <c r="D3" s="6"/>
      <c r="E3" s="6"/>
      <c r="F3" s="6"/>
    </row>
    <row r="5" spans="1:6" ht="20.85" customHeight="1" x14ac:dyDescent="0.25">
      <c r="A5" s="3" t="s">
        <v>617</v>
      </c>
      <c r="B5" s="3"/>
      <c r="C5" s="3"/>
      <c r="D5" s="3"/>
      <c r="E5" s="3"/>
      <c r="F5" s="3"/>
    </row>
    <row r="7" spans="1:6" x14ac:dyDescent="0.25">
      <c r="B7" s="37" t="s">
        <v>618</v>
      </c>
      <c r="C7" s="20">
        <f>PU_HA10/(LONG_BARRE_COMMERCIALE*IFERROR(INDEX(TAB_ACIER_POIDS,MATCH(10,TAB_ACIER_DIAM,0)),1))</f>
        <v>567.26094003241496</v>
      </c>
      <c r="D7" s="40" t="s">
        <v>619</v>
      </c>
    </row>
    <row r="8" spans="1:6" x14ac:dyDescent="0.25">
      <c r="B8" s="15" t="s">
        <v>620</v>
      </c>
      <c r="C8" s="20">
        <f>PU_PLANCHE/(PLANCHE_L*PLANCHE_LARGEUR*PLANCHE_e)</f>
        <v>66666.666666666672</v>
      </c>
      <c r="D8" s="40" t="s">
        <v>621</v>
      </c>
    </row>
    <row r="10" spans="1:6" ht="15" customHeight="1" x14ac:dyDescent="0.25">
      <c r="A10" s="5" t="s">
        <v>622</v>
      </c>
      <c r="B10" s="5"/>
      <c r="C10" s="5"/>
      <c r="D10" s="5"/>
      <c r="E10" s="5"/>
      <c r="F10" s="5"/>
    </row>
    <row r="12" spans="1:6" x14ac:dyDescent="0.25">
      <c r="B12" s="8" t="s">
        <v>623</v>
      </c>
      <c r="C12" s="8" t="s">
        <v>624</v>
      </c>
      <c r="D12" s="8" t="s">
        <v>196</v>
      </c>
      <c r="E12" s="8" t="s">
        <v>625</v>
      </c>
      <c r="F12" s="8"/>
    </row>
    <row r="13" spans="1:6" x14ac:dyDescent="0.25">
      <c r="B13" s="15" t="s">
        <v>393</v>
      </c>
      <c r="C13" s="32">
        <v>150</v>
      </c>
      <c r="D13" s="45" t="s">
        <v>626</v>
      </c>
      <c r="E13" s="36"/>
    </row>
    <row r="14" spans="1:6" x14ac:dyDescent="0.25">
      <c r="B14" s="15" t="s">
        <v>197</v>
      </c>
      <c r="C14" s="21">
        <f>C13/POIDS_SAC_CIMENT</f>
        <v>3</v>
      </c>
      <c r="D14" s="46">
        <f>PU_CIMENT</f>
        <v>5500</v>
      </c>
      <c r="E14" s="46">
        <f>C14*D14</f>
        <v>16500</v>
      </c>
    </row>
    <row r="15" spans="1:6" x14ac:dyDescent="0.25">
      <c r="B15" s="15" t="s">
        <v>201</v>
      </c>
      <c r="C15" s="21">
        <f>COEF_GRAVIER_VOL*DENSITE_GRAVIER</f>
        <v>1.2800000000000002</v>
      </c>
      <c r="D15" s="46">
        <f>PU_GRAVIER</f>
        <v>25000</v>
      </c>
      <c r="E15" s="46">
        <f>C15*D15</f>
        <v>32000.000000000007</v>
      </c>
    </row>
    <row r="16" spans="1:6" x14ac:dyDescent="0.25">
      <c r="B16" s="15" t="s">
        <v>199</v>
      </c>
      <c r="C16" s="21">
        <f>COEF_SABLE_VOL*DENSITE_SABLE</f>
        <v>0.60000000000000009</v>
      </c>
      <c r="D16" s="46">
        <f>PU_SABLE</f>
        <v>15000</v>
      </c>
      <c r="E16" s="46">
        <f>C16*D16</f>
        <v>9000.0000000000018</v>
      </c>
    </row>
    <row r="17" spans="1:12" x14ac:dyDescent="0.25">
      <c r="B17" s="15" t="s">
        <v>308</v>
      </c>
      <c r="C17" s="24">
        <f>(C13/EAU_PAR_DOSAGE)/1000</f>
        <v>7.4999999999999997E-2</v>
      </c>
      <c r="D17" s="46">
        <f>PU_EAU</f>
        <v>1500</v>
      </c>
      <c r="E17" s="46">
        <f>C17*D17</f>
        <v>112.5</v>
      </c>
    </row>
    <row r="18" spans="1:12" ht="15" customHeight="1" x14ac:dyDescent="0.25">
      <c r="A18" s="2" t="s">
        <v>627</v>
      </c>
      <c r="B18" s="2"/>
      <c r="C18" s="2"/>
      <c r="D18" s="2"/>
      <c r="E18" s="47">
        <f>(E14+E15+E16+E17)</f>
        <v>57612.500000000007</v>
      </c>
      <c r="F18" s="34"/>
      <c r="G18" s="34"/>
      <c r="H18" s="34"/>
      <c r="I18" s="34"/>
      <c r="J18" s="34"/>
      <c r="K18" s="34"/>
      <c r="L18" s="34"/>
    </row>
    <row r="19" spans="1:12" x14ac:dyDescent="0.25">
      <c r="B19" s="15" t="s">
        <v>628</v>
      </c>
      <c r="C19" s="48">
        <f>PU_MO_POURCENT</f>
        <v>0.28000000000000003</v>
      </c>
      <c r="E19" s="46">
        <f>E18*C19</f>
        <v>16131.500000000004</v>
      </c>
    </row>
    <row r="20" spans="1:12" ht="15" customHeight="1" x14ac:dyDescent="0.25">
      <c r="A20" s="2" t="s">
        <v>629</v>
      </c>
      <c r="B20" s="2"/>
      <c r="C20" s="2"/>
      <c r="D20" s="2"/>
      <c r="E20" s="47">
        <f>E18+E19</f>
        <v>73744.000000000015</v>
      </c>
      <c r="F20" s="34"/>
      <c r="G20" s="34"/>
      <c r="H20" s="34"/>
      <c r="I20" s="34"/>
      <c r="J20" s="34"/>
      <c r="K20" s="34"/>
      <c r="L20" s="34"/>
    </row>
    <row r="22" spans="1:12" ht="15" customHeight="1" x14ac:dyDescent="0.25">
      <c r="A22" s="5" t="s">
        <v>630</v>
      </c>
      <c r="B22" s="5"/>
      <c r="C22" s="5"/>
      <c r="D22" s="5"/>
      <c r="E22" s="5"/>
      <c r="F22" s="5"/>
    </row>
    <row r="24" spans="1:12" x14ac:dyDescent="0.25">
      <c r="B24" s="8" t="s">
        <v>623</v>
      </c>
      <c r="C24" s="8" t="s">
        <v>624</v>
      </c>
      <c r="D24" s="8" t="s">
        <v>196</v>
      </c>
      <c r="E24" s="8" t="s">
        <v>625</v>
      </c>
      <c r="F24" s="8"/>
    </row>
    <row r="25" spans="1:12" x14ac:dyDescent="0.25">
      <c r="B25" s="15" t="s">
        <v>393</v>
      </c>
      <c r="C25" s="32">
        <v>250</v>
      </c>
      <c r="D25" s="45" t="s">
        <v>626</v>
      </c>
      <c r="E25" s="36"/>
    </row>
    <row r="26" spans="1:12" x14ac:dyDescent="0.25">
      <c r="B26" s="15" t="s">
        <v>197</v>
      </c>
      <c r="C26" s="21">
        <f>C25/POIDS_SAC_CIMENT</f>
        <v>5</v>
      </c>
      <c r="D26" s="46">
        <f>PU_CIMENT</f>
        <v>5500</v>
      </c>
      <c r="E26" s="46">
        <f>C26*D26</f>
        <v>27500</v>
      </c>
    </row>
    <row r="27" spans="1:12" x14ac:dyDescent="0.25">
      <c r="B27" s="15" t="s">
        <v>201</v>
      </c>
      <c r="C27" s="21">
        <f>COEF_GRAVIER_VOL*DENSITE_GRAVIER</f>
        <v>1.2800000000000002</v>
      </c>
      <c r="D27" s="46">
        <f>PU_GRAVIER</f>
        <v>25000</v>
      </c>
      <c r="E27" s="46">
        <f>C27*D27</f>
        <v>32000.000000000007</v>
      </c>
    </row>
    <row r="28" spans="1:12" x14ac:dyDescent="0.25">
      <c r="B28" s="15" t="s">
        <v>199</v>
      </c>
      <c r="C28" s="21">
        <f>COEF_SABLE_VOL*DENSITE_SABLE</f>
        <v>0.60000000000000009</v>
      </c>
      <c r="D28" s="46">
        <f>PU_SABLE</f>
        <v>15000</v>
      </c>
      <c r="E28" s="46">
        <f>C28*D28</f>
        <v>9000.0000000000018</v>
      </c>
    </row>
    <row r="29" spans="1:12" x14ac:dyDescent="0.25">
      <c r="B29" s="15" t="s">
        <v>308</v>
      </c>
      <c r="C29" s="24">
        <f>(C25/EAU_PAR_DOSAGE)/1000</f>
        <v>0.125</v>
      </c>
      <c r="D29" s="46">
        <f>PU_EAU</f>
        <v>1500</v>
      </c>
      <c r="E29" s="46">
        <f>C29*D29</f>
        <v>187.5</v>
      </c>
    </row>
    <row r="30" spans="1:12" ht="15" customHeight="1" x14ac:dyDescent="0.25">
      <c r="A30" s="2" t="s">
        <v>627</v>
      </c>
      <c r="B30" s="2"/>
      <c r="C30" s="2"/>
      <c r="D30" s="2"/>
      <c r="E30" s="47">
        <f>(E26+E27+E28+E29)</f>
        <v>68687.500000000015</v>
      </c>
      <c r="F30" s="34"/>
      <c r="G30" s="34"/>
      <c r="H30" s="34"/>
      <c r="I30" s="34"/>
      <c r="J30" s="34"/>
      <c r="K30" s="34"/>
      <c r="L30" s="34"/>
    </row>
    <row r="31" spans="1:12" x14ac:dyDescent="0.25">
      <c r="B31" s="15" t="s">
        <v>628</v>
      </c>
      <c r="C31" s="48">
        <f>PU_MO_POURCENT</f>
        <v>0.28000000000000003</v>
      </c>
      <c r="E31" s="46">
        <f>E30*C31</f>
        <v>19232.500000000007</v>
      </c>
    </row>
    <row r="32" spans="1:12" ht="15" customHeight="1" x14ac:dyDescent="0.25">
      <c r="A32" s="2" t="s">
        <v>629</v>
      </c>
      <c r="B32" s="2"/>
      <c r="C32" s="2"/>
      <c r="D32" s="2"/>
      <c r="E32" s="47">
        <f>E30+E31</f>
        <v>87920.000000000029</v>
      </c>
      <c r="F32" s="34"/>
      <c r="G32" s="34"/>
      <c r="H32" s="34"/>
      <c r="I32" s="34"/>
      <c r="J32" s="34"/>
      <c r="K32" s="34"/>
      <c r="L32" s="34"/>
    </row>
    <row r="34" spans="1:12" ht="15" customHeight="1" x14ac:dyDescent="0.25">
      <c r="A34" s="5" t="s">
        <v>631</v>
      </c>
      <c r="B34" s="5"/>
      <c r="C34" s="5"/>
      <c r="D34" s="5"/>
      <c r="E34" s="5"/>
      <c r="F34" s="5"/>
    </row>
    <row r="36" spans="1:12" x14ac:dyDescent="0.25">
      <c r="B36" s="8" t="s">
        <v>623</v>
      </c>
      <c r="C36" s="8" t="s">
        <v>624</v>
      </c>
      <c r="D36" s="8" t="s">
        <v>196</v>
      </c>
      <c r="E36" s="8" t="s">
        <v>625</v>
      </c>
      <c r="F36" s="8"/>
    </row>
    <row r="37" spans="1:12" x14ac:dyDescent="0.25">
      <c r="B37" s="15" t="s">
        <v>393</v>
      </c>
      <c r="C37" s="32">
        <v>350</v>
      </c>
      <c r="D37" s="45" t="s">
        <v>626</v>
      </c>
      <c r="E37" s="36"/>
    </row>
    <row r="38" spans="1:12" x14ac:dyDescent="0.25">
      <c r="B38" s="15" t="s">
        <v>197</v>
      </c>
      <c r="C38" s="21">
        <f>C37/POIDS_SAC_CIMENT</f>
        <v>7</v>
      </c>
      <c r="D38" s="46">
        <f>PU_CIMENT</f>
        <v>5500</v>
      </c>
      <c r="E38" s="46">
        <f t="shared" ref="E38:E43" si="0">C38*D38</f>
        <v>38500</v>
      </c>
    </row>
    <row r="39" spans="1:12" x14ac:dyDescent="0.25">
      <c r="B39" s="15" t="s">
        <v>201</v>
      </c>
      <c r="C39" s="21">
        <f>COEF_GRAVIER_VOL*DENSITE_GRAVIER</f>
        <v>1.2800000000000002</v>
      </c>
      <c r="D39" s="46">
        <f>PU_GRAVIER</f>
        <v>25000</v>
      </c>
      <c r="E39" s="46">
        <f t="shared" si="0"/>
        <v>32000.000000000007</v>
      </c>
    </row>
    <row r="40" spans="1:12" x14ac:dyDescent="0.25">
      <c r="B40" s="15" t="s">
        <v>199</v>
      </c>
      <c r="C40" s="21">
        <f>COEF_SABLE_VOL*DENSITE_SABLE</f>
        <v>0.60000000000000009</v>
      </c>
      <c r="D40" s="46">
        <f>PU_SABLE</f>
        <v>15000</v>
      </c>
      <c r="E40" s="46">
        <f t="shared" si="0"/>
        <v>9000.0000000000018</v>
      </c>
    </row>
    <row r="41" spans="1:12" x14ac:dyDescent="0.25">
      <c r="B41" s="15" t="s">
        <v>308</v>
      </c>
      <c r="C41" s="24">
        <f>(C37/EAU_PAR_DOSAGE)/1000</f>
        <v>0.17499999999999999</v>
      </c>
      <c r="D41" s="46">
        <f>PU_EAU</f>
        <v>1500</v>
      </c>
      <c r="E41" s="46">
        <f t="shared" si="0"/>
        <v>262.5</v>
      </c>
    </row>
    <row r="42" spans="1:12" x14ac:dyDescent="0.25">
      <c r="B42" s="15" t="s">
        <v>632</v>
      </c>
      <c r="C42" s="32">
        <v>130</v>
      </c>
      <c r="D42" s="49">
        <f>C7</f>
        <v>567.26094003241496</v>
      </c>
      <c r="E42" s="46">
        <f t="shared" si="0"/>
        <v>73743.922204213944</v>
      </c>
    </row>
    <row r="43" spans="1:12" x14ac:dyDescent="0.25">
      <c r="B43" s="15" t="s">
        <v>633</v>
      </c>
      <c r="C43" s="33">
        <v>0.9</v>
      </c>
      <c r="D43" s="49">
        <f>C8</f>
        <v>66666.666666666672</v>
      </c>
      <c r="E43" s="46">
        <f t="shared" si="0"/>
        <v>60000.000000000007</v>
      </c>
    </row>
    <row r="44" spans="1:12" ht="15" customHeight="1" x14ac:dyDescent="0.25">
      <c r="A44" s="2" t="s">
        <v>627</v>
      </c>
      <c r="B44" s="2"/>
      <c r="C44" s="2"/>
      <c r="D44" s="2"/>
      <c r="E44" s="47">
        <f>(E38+E39+E40+E41+E42+E43)</f>
        <v>213506.42220421394</v>
      </c>
      <c r="F44" s="34"/>
      <c r="G44" s="34"/>
      <c r="H44" s="34"/>
      <c r="I44" s="34"/>
      <c r="J44" s="34"/>
      <c r="K44" s="34"/>
      <c r="L44" s="34"/>
    </row>
    <row r="45" spans="1:12" x14ac:dyDescent="0.25">
      <c r="B45" s="15" t="s">
        <v>628</v>
      </c>
      <c r="C45" s="48">
        <f>PU_MO_POURCENT</f>
        <v>0.28000000000000003</v>
      </c>
      <c r="E45" s="46">
        <f>E44*C45</f>
        <v>59781.798217179909</v>
      </c>
    </row>
    <row r="46" spans="1:12" ht="15" customHeight="1" x14ac:dyDescent="0.25">
      <c r="A46" s="2" t="s">
        <v>629</v>
      </c>
      <c r="B46" s="2"/>
      <c r="C46" s="2"/>
      <c r="D46" s="2"/>
      <c r="E46" s="47">
        <f>E44+E45</f>
        <v>273288.22042139387</v>
      </c>
      <c r="F46" s="34"/>
      <c r="G46" s="34"/>
      <c r="H46" s="34"/>
      <c r="I46" s="34"/>
      <c r="J46" s="34"/>
      <c r="K46" s="34"/>
      <c r="L46" s="34"/>
    </row>
    <row r="48" spans="1:12" ht="15" customHeight="1" x14ac:dyDescent="0.25">
      <c r="A48" s="5" t="s">
        <v>634</v>
      </c>
      <c r="B48" s="5"/>
      <c r="C48" s="5"/>
      <c r="D48" s="5"/>
      <c r="E48" s="5"/>
      <c r="F48" s="5"/>
    </row>
    <row r="50" spans="1:12" x14ac:dyDescent="0.25">
      <c r="B50" s="8" t="s">
        <v>623</v>
      </c>
      <c r="C50" s="8" t="s">
        <v>624</v>
      </c>
      <c r="D50" s="8" t="s">
        <v>196</v>
      </c>
      <c r="E50" s="8" t="s">
        <v>625</v>
      </c>
      <c r="F50" s="8"/>
    </row>
    <row r="51" spans="1:12" x14ac:dyDescent="0.25">
      <c r="B51" s="15" t="s">
        <v>635</v>
      </c>
      <c r="C51" s="32">
        <v>250</v>
      </c>
      <c r="D51" s="45" t="s">
        <v>626</v>
      </c>
      <c r="E51" s="36"/>
    </row>
    <row r="52" spans="1:12" x14ac:dyDescent="0.25">
      <c r="B52" s="15" t="s">
        <v>636</v>
      </c>
      <c r="C52" s="21">
        <f>MOELLON_PCT_VOLUME*DENSITE_MOELLON</f>
        <v>1.1199999999999999</v>
      </c>
      <c r="D52" s="46">
        <f>PU_MOELLON</f>
        <v>17000</v>
      </c>
      <c r="E52" s="46">
        <f>C52*D52</f>
        <v>19039.999999999996</v>
      </c>
    </row>
    <row r="53" spans="1:12" x14ac:dyDescent="0.25">
      <c r="B53" s="15" t="s">
        <v>637</v>
      </c>
      <c r="C53" s="21">
        <f>(1-MOELLON_PCT_VOLUME)*C51/POIDS_SAC_CIMENT</f>
        <v>1.5000000000000002</v>
      </c>
      <c r="D53" s="46">
        <f>PU_CIMENT</f>
        <v>5500</v>
      </c>
      <c r="E53" s="46">
        <f>C53*D53</f>
        <v>8250.0000000000018</v>
      </c>
    </row>
    <row r="54" spans="1:12" x14ac:dyDescent="0.25">
      <c r="B54" s="15" t="s">
        <v>638</v>
      </c>
      <c r="C54" s="21">
        <f>(1-MOELLON_PCT_VOLUME)*COEF_SABLE_MORTIER*DENSITE_SABLE</f>
        <v>0.45000000000000007</v>
      </c>
      <c r="D54" s="46">
        <f>PU_SABLE</f>
        <v>15000</v>
      </c>
      <c r="E54" s="46">
        <f>C54*D54</f>
        <v>6750.0000000000009</v>
      </c>
    </row>
    <row r="55" spans="1:12" ht="15" customHeight="1" x14ac:dyDescent="0.25">
      <c r="A55" s="2" t="s">
        <v>627</v>
      </c>
      <c r="B55" s="2"/>
      <c r="C55" s="2"/>
      <c r="D55" s="2"/>
      <c r="E55" s="47">
        <f>E52+E53+E54</f>
        <v>34040</v>
      </c>
      <c r="F55" s="34"/>
      <c r="G55" s="34"/>
      <c r="H55" s="34"/>
      <c r="I55" s="34"/>
      <c r="J55" s="34"/>
      <c r="K55" s="34"/>
      <c r="L55" s="34"/>
    </row>
    <row r="56" spans="1:12" x14ac:dyDescent="0.25">
      <c r="B56" s="15" t="s">
        <v>628</v>
      </c>
      <c r="C56" s="48">
        <f>PU_MO_POURCENT</f>
        <v>0.28000000000000003</v>
      </c>
      <c r="E56" s="46">
        <f>E55*C56</f>
        <v>9531.2000000000007</v>
      </c>
    </row>
    <row r="57" spans="1:12" ht="15" customHeight="1" x14ac:dyDescent="0.25">
      <c r="A57" s="2" t="s">
        <v>629</v>
      </c>
      <c r="B57" s="2"/>
      <c r="C57" s="2"/>
      <c r="D57" s="2"/>
      <c r="E57" s="47">
        <f>E55+E56</f>
        <v>43571.199999999997</v>
      </c>
      <c r="F57" s="34"/>
      <c r="G57" s="34"/>
      <c r="H57" s="34"/>
      <c r="I57" s="34"/>
      <c r="J57" s="34"/>
      <c r="K57" s="34"/>
      <c r="L57" s="34"/>
    </row>
    <row r="59" spans="1:12" ht="15" customHeight="1" x14ac:dyDescent="0.25">
      <c r="A59" s="5" t="s">
        <v>639</v>
      </c>
      <c r="B59" s="5"/>
      <c r="C59" s="5"/>
      <c r="D59" s="5"/>
      <c r="E59" s="5"/>
      <c r="F59" s="5"/>
    </row>
    <row r="61" spans="1:12" x14ac:dyDescent="0.25">
      <c r="B61" s="8" t="s">
        <v>623</v>
      </c>
      <c r="C61" s="8" t="s">
        <v>640</v>
      </c>
      <c r="D61" s="8" t="s">
        <v>196</v>
      </c>
      <c r="E61" s="8" t="s">
        <v>641</v>
      </c>
      <c r="F61" s="8"/>
    </row>
    <row r="62" spans="1:12" ht="24" x14ac:dyDescent="0.25">
      <c r="B62" s="15" t="s">
        <v>642</v>
      </c>
      <c r="C62" s="33">
        <v>0.4</v>
      </c>
      <c r="D62" s="33">
        <v>0.2</v>
      </c>
      <c r="E62" s="33">
        <v>0.15</v>
      </c>
    </row>
    <row r="63" spans="1:12" x14ac:dyDescent="0.25">
      <c r="B63" s="15" t="s">
        <v>643</v>
      </c>
      <c r="C63" s="24">
        <f>(C62+JOINT_MACONNERIE)*(D62+JOINT_MACONNERIE)</f>
        <v>8.9225000000000013E-2</v>
      </c>
      <c r="D63" s="40" t="s">
        <v>269</v>
      </c>
      <c r="E63" s="36"/>
    </row>
    <row r="64" spans="1:12" x14ac:dyDescent="0.25">
      <c r="B64" s="15" t="s">
        <v>644</v>
      </c>
      <c r="C64" s="21">
        <f>(1/C63)*MAJORATION_ACHAT</f>
        <v>12.328383300644438</v>
      </c>
      <c r="D64" s="46">
        <f>PU_BLOC15</f>
        <v>350</v>
      </c>
      <c r="E64" s="46">
        <f>C64*D64</f>
        <v>4314.9341552255537</v>
      </c>
    </row>
    <row r="65" spans="1:12" x14ac:dyDescent="0.25">
      <c r="B65" s="15" t="s">
        <v>645</v>
      </c>
      <c r="C65" s="24">
        <f>((C64/MAJORATION_ACHAT)*(C63-C62*D62)*E62)*DOSAGE_MORTIER_MACONNERIE/POIDS_SAC_CIMENT</f>
        <v>9.3051274866909464E-2</v>
      </c>
      <c r="D65" s="46">
        <f>PU_CIMENT</f>
        <v>5500</v>
      </c>
      <c r="E65" s="46">
        <f>C65*D65</f>
        <v>511.78201176800206</v>
      </c>
    </row>
    <row r="66" spans="1:12" x14ac:dyDescent="0.25">
      <c r="B66" s="15" t="s">
        <v>646</v>
      </c>
      <c r="C66" s="24">
        <f>((C64/MAJORATION_ACHAT)*(C63-C62*D62)*E62)*COEF_SABLE_MORTIER*DENSITE_SABLE</f>
        <v>2.3262818716727363E-2</v>
      </c>
      <c r="D66" s="46">
        <f>PU_SABLE</f>
        <v>15000</v>
      </c>
      <c r="E66" s="46">
        <f>C66*D66</f>
        <v>348.94228075091041</v>
      </c>
    </row>
    <row r="67" spans="1:12" ht="15" customHeight="1" x14ac:dyDescent="0.25">
      <c r="A67" s="2" t="s">
        <v>647</v>
      </c>
      <c r="B67" s="2"/>
      <c r="C67" s="2"/>
      <c r="D67" s="2"/>
      <c r="E67" s="47">
        <f>E64+E65+E66</f>
        <v>5175.6584477444667</v>
      </c>
      <c r="F67" s="34"/>
      <c r="G67" s="34"/>
      <c r="H67" s="34"/>
      <c r="I67" s="34"/>
      <c r="J67" s="34"/>
      <c r="K67" s="34"/>
      <c r="L67" s="34"/>
    </row>
    <row r="68" spans="1:12" x14ac:dyDescent="0.25">
      <c r="B68" s="15" t="s">
        <v>628</v>
      </c>
      <c r="C68" s="48">
        <f>PU_MO_POURCENT</f>
        <v>0.28000000000000003</v>
      </c>
      <c r="E68" s="46">
        <f>E67*C68</f>
        <v>1449.1843653684507</v>
      </c>
    </row>
    <row r="69" spans="1:12" ht="15" customHeight="1" x14ac:dyDescent="0.25">
      <c r="A69" s="2" t="s">
        <v>648</v>
      </c>
      <c r="B69" s="2"/>
      <c r="C69" s="2"/>
      <c r="D69" s="2"/>
      <c r="E69" s="47">
        <f>E67+E68</f>
        <v>6624.8428131129176</v>
      </c>
      <c r="F69" s="34"/>
      <c r="G69" s="34"/>
      <c r="H69" s="34"/>
      <c r="I69" s="34"/>
      <c r="J69" s="34"/>
      <c r="K69" s="34"/>
      <c r="L69" s="34"/>
    </row>
    <row r="71" spans="1:12" ht="15" customHeight="1" x14ac:dyDescent="0.25">
      <c r="A71" s="5" t="s">
        <v>649</v>
      </c>
      <c r="B71" s="5"/>
      <c r="C71" s="5"/>
      <c r="D71" s="5"/>
      <c r="E71" s="5"/>
      <c r="F71" s="5"/>
    </row>
    <row r="73" spans="1:12" x14ac:dyDescent="0.25">
      <c r="B73" s="8" t="s">
        <v>623</v>
      </c>
      <c r="C73" s="8" t="s">
        <v>640</v>
      </c>
      <c r="D73" s="8" t="s">
        <v>196</v>
      </c>
      <c r="E73" s="8" t="s">
        <v>641</v>
      </c>
      <c r="F73" s="8"/>
    </row>
    <row r="74" spans="1:12" x14ac:dyDescent="0.25">
      <c r="B74" s="15" t="s">
        <v>197</v>
      </c>
      <c r="C74" s="24">
        <f>ENDUIT_CIMENT_KGM2/POIDS_SAC_CIMENT</f>
        <v>0.16</v>
      </c>
      <c r="D74" s="46">
        <f>PU_CIMENT</f>
        <v>5500</v>
      </c>
      <c r="E74" s="46">
        <f>C74*D74</f>
        <v>880</v>
      </c>
    </row>
    <row r="75" spans="1:12" x14ac:dyDescent="0.25">
      <c r="B75" s="15" t="s">
        <v>199</v>
      </c>
      <c r="C75" s="24">
        <f>(ENDUIT_CIMENT_KGM2/DOSAGE_MORTIER_MACONNERIE)*COEF_SABLE_MORTIER*DENSITE_SABLE</f>
        <v>0.04</v>
      </c>
      <c r="D75" s="46">
        <f>PU_SABLE</f>
        <v>15000</v>
      </c>
      <c r="E75" s="46">
        <f>C75*D75</f>
        <v>600</v>
      </c>
    </row>
    <row r="76" spans="1:12" ht="15" customHeight="1" x14ac:dyDescent="0.25">
      <c r="A76" s="2" t="s">
        <v>647</v>
      </c>
      <c r="B76" s="2"/>
      <c r="C76" s="2"/>
      <c r="D76" s="2"/>
      <c r="E76" s="47">
        <f>E74+E75</f>
        <v>1480</v>
      </c>
      <c r="F76" s="34"/>
      <c r="G76" s="34"/>
      <c r="H76" s="34"/>
      <c r="I76" s="34"/>
      <c r="J76" s="34"/>
      <c r="K76" s="34"/>
      <c r="L76" s="34"/>
    </row>
    <row r="77" spans="1:12" x14ac:dyDescent="0.25">
      <c r="B77" s="15" t="s">
        <v>628</v>
      </c>
      <c r="C77" s="48">
        <f>PU_MO_FINITION_POURCENT</f>
        <v>0.22</v>
      </c>
      <c r="E77" s="46">
        <f>E76*C77</f>
        <v>325.60000000000002</v>
      </c>
    </row>
    <row r="78" spans="1:12" ht="15" customHeight="1" x14ac:dyDescent="0.25">
      <c r="A78" s="2" t="s">
        <v>648</v>
      </c>
      <c r="B78" s="2"/>
      <c r="C78" s="2"/>
      <c r="D78" s="2"/>
      <c r="E78" s="47">
        <f>E76+E77</f>
        <v>1805.6</v>
      </c>
      <c r="F78" s="34"/>
      <c r="G78" s="34"/>
      <c r="H78" s="34"/>
      <c r="I78" s="34"/>
      <c r="J78" s="34"/>
      <c r="K78" s="34"/>
      <c r="L78" s="34"/>
    </row>
    <row r="80" spans="1:12" ht="15" customHeight="1" x14ac:dyDescent="0.25">
      <c r="A80" s="5" t="s">
        <v>650</v>
      </c>
      <c r="B80" s="5"/>
      <c r="C80" s="5"/>
      <c r="D80" s="5"/>
      <c r="E80" s="5"/>
      <c r="F80" s="5"/>
    </row>
    <row r="82" spans="1:12" x14ac:dyDescent="0.25">
      <c r="B82" s="8" t="s">
        <v>623</v>
      </c>
      <c r="C82" s="8" t="s">
        <v>640</v>
      </c>
      <c r="D82" s="8" t="s">
        <v>196</v>
      </c>
      <c r="E82" s="8" t="s">
        <v>641</v>
      </c>
      <c r="F82" s="8"/>
    </row>
    <row r="83" spans="1:12" x14ac:dyDescent="0.25">
      <c r="B83" s="15" t="s">
        <v>651</v>
      </c>
      <c r="C83" s="24">
        <f>1/PEINTURE_LATEX_M2_KG</f>
        <v>0.25</v>
      </c>
      <c r="D83" s="46">
        <f>PU_LATEX</f>
        <v>2800</v>
      </c>
      <c r="E83" s="46">
        <f>C83*D83</f>
        <v>700</v>
      </c>
    </row>
    <row r="84" spans="1:12" x14ac:dyDescent="0.25">
      <c r="B84" s="15" t="s">
        <v>652</v>
      </c>
      <c r="C84" s="48">
        <f>PU_MO_FINITION_POURCENT</f>
        <v>0.22</v>
      </c>
      <c r="E84" s="46">
        <f>E83*C84</f>
        <v>154</v>
      </c>
    </row>
    <row r="85" spans="1:12" ht="15" customHeight="1" x14ac:dyDescent="0.25">
      <c r="A85" s="2" t="s">
        <v>648</v>
      </c>
      <c r="B85" s="2"/>
      <c r="C85" s="2"/>
      <c r="D85" s="2"/>
      <c r="E85" s="47">
        <f>E83+E84</f>
        <v>854</v>
      </c>
      <c r="F85" s="34"/>
      <c r="G85" s="34"/>
      <c r="H85" s="34"/>
      <c r="I85" s="34"/>
      <c r="J85" s="34"/>
      <c r="K85" s="34"/>
      <c r="L85" s="34"/>
    </row>
    <row r="87" spans="1:12" ht="15" customHeight="1" x14ac:dyDescent="0.25">
      <c r="A87" s="5" t="s">
        <v>653</v>
      </c>
      <c r="B87" s="5"/>
      <c r="C87" s="5"/>
      <c r="D87" s="5"/>
      <c r="E87" s="5"/>
      <c r="F87" s="5"/>
    </row>
    <row r="89" spans="1:12" x14ac:dyDescent="0.25">
      <c r="B89" s="8" t="s">
        <v>623</v>
      </c>
      <c r="C89" s="8" t="s">
        <v>640</v>
      </c>
      <c r="D89" s="8" t="s">
        <v>196</v>
      </c>
      <c r="E89" s="8" t="s">
        <v>641</v>
      </c>
      <c r="F89" s="8"/>
    </row>
    <row r="90" spans="1:12" x14ac:dyDescent="0.25">
      <c r="B90" s="15" t="s">
        <v>654</v>
      </c>
      <c r="C90" s="38">
        <v>0.03</v>
      </c>
      <c r="D90" s="45" t="s">
        <v>113</v>
      </c>
      <c r="E90" s="36"/>
    </row>
    <row r="91" spans="1:12" x14ac:dyDescent="0.25">
      <c r="B91" s="15" t="s">
        <v>655</v>
      </c>
      <c r="C91" s="24">
        <f>(1/CARREAUX_S1)*MAJORATION_CARRELAGE/12</f>
        <v>1.0185185185185186</v>
      </c>
      <c r="D91" s="46">
        <f>PU_CARREAUX</f>
        <v>6500</v>
      </c>
      <c r="E91" s="46">
        <f>C91*D91</f>
        <v>6620.3703703703713</v>
      </c>
    </row>
    <row r="92" spans="1:12" x14ac:dyDescent="0.25">
      <c r="B92" s="15" t="s">
        <v>233</v>
      </c>
      <c r="C92" s="21">
        <f>CIMENT_COLLE_KGM2</f>
        <v>8</v>
      </c>
      <c r="D92" s="46">
        <f>PU_CIMENTCOLLE</f>
        <v>650</v>
      </c>
      <c r="E92" s="46">
        <f>C92*D92</f>
        <v>5200</v>
      </c>
    </row>
    <row r="93" spans="1:12" x14ac:dyDescent="0.25">
      <c r="B93" s="15" t="s">
        <v>646</v>
      </c>
      <c r="C93" s="24">
        <f>(C90*100)*SABLE_MORTIER_L_CM_M2*DENSITE_SABLE/1000</f>
        <v>4.4999999999999998E-2</v>
      </c>
      <c r="D93" s="46">
        <f>PU_SABLE</f>
        <v>15000</v>
      </c>
      <c r="E93" s="46">
        <f>C93*D93</f>
        <v>675</v>
      </c>
    </row>
    <row r="94" spans="1:12" x14ac:dyDescent="0.25">
      <c r="B94" s="15" t="s">
        <v>645</v>
      </c>
      <c r="C94" s="24">
        <f>ROUNDUP(C90*DOSAGE_MORTIER_MACONNERIE,0)/POIDS_SAC_CIMENT</f>
        <v>0.18</v>
      </c>
      <c r="D94" s="46">
        <f>PU_CIMENT</f>
        <v>5500</v>
      </c>
      <c r="E94" s="46">
        <f>C94*D94</f>
        <v>990</v>
      </c>
    </row>
    <row r="95" spans="1:12" ht="15" customHeight="1" x14ac:dyDescent="0.25">
      <c r="A95" s="2" t="s">
        <v>647</v>
      </c>
      <c r="B95" s="2"/>
      <c r="C95" s="2"/>
      <c r="D95" s="2"/>
      <c r="E95" s="47">
        <f>E91+E92+E93+E94</f>
        <v>13485.370370370372</v>
      </c>
      <c r="F95" s="34"/>
      <c r="G95" s="34"/>
      <c r="H95" s="34"/>
      <c r="I95" s="34"/>
      <c r="J95" s="34"/>
      <c r="K95" s="34"/>
      <c r="L95" s="34"/>
    </row>
    <row r="96" spans="1:12" x14ac:dyDescent="0.25">
      <c r="B96" s="15" t="s">
        <v>656</v>
      </c>
      <c r="C96" s="48">
        <f>PU_MO_FINITION_POURCENT</f>
        <v>0.22</v>
      </c>
      <c r="E96" s="46">
        <f>E95*C96</f>
        <v>2966.7814814814819</v>
      </c>
    </row>
    <row r="97" spans="1:12" ht="15" customHeight="1" x14ac:dyDescent="0.25">
      <c r="A97" s="2" t="s">
        <v>648</v>
      </c>
      <c r="B97" s="2"/>
      <c r="C97" s="2"/>
      <c r="D97" s="2"/>
      <c r="E97" s="47">
        <f>E95+E96</f>
        <v>16452.151851851853</v>
      </c>
      <c r="F97" s="34"/>
      <c r="G97" s="34"/>
      <c r="H97" s="34"/>
      <c r="I97" s="34"/>
      <c r="J97" s="34"/>
      <c r="K97" s="34"/>
      <c r="L97" s="34"/>
    </row>
    <row r="99" spans="1:12" ht="15" customHeight="1" x14ac:dyDescent="0.25">
      <c r="A99" s="5" t="s">
        <v>657</v>
      </c>
      <c r="B99" s="5"/>
      <c r="C99" s="5"/>
      <c r="D99" s="5"/>
      <c r="E99" s="5"/>
      <c r="F99" s="5"/>
    </row>
    <row r="101" spans="1:12" x14ac:dyDescent="0.25">
      <c r="B101" s="8" t="s">
        <v>623</v>
      </c>
      <c r="C101" s="8" t="s">
        <v>640</v>
      </c>
      <c r="D101" s="8" t="s">
        <v>196</v>
      </c>
      <c r="E101" s="8" t="s">
        <v>641</v>
      </c>
      <c r="F101" s="8"/>
    </row>
    <row r="102" spans="1:12" x14ac:dyDescent="0.25">
      <c r="B102" s="15" t="s">
        <v>658</v>
      </c>
      <c r="C102" s="24">
        <f>(1/FAIENCE_S1)*MAJORATION_CARRELAGE/10</f>
        <v>1.1000000000000001</v>
      </c>
      <c r="D102" s="46">
        <f>PU_FAIENCE</f>
        <v>6000</v>
      </c>
      <c r="E102" s="46">
        <f>C102*D102</f>
        <v>6600.0000000000009</v>
      </c>
    </row>
    <row r="103" spans="1:12" x14ac:dyDescent="0.25">
      <c r="B103" s="15" t="s">
        <v>233</v>
      </c>
      <c r="C103" s="21">
        <f>CIMENT_COLLE_KGM2</f>
        <v>8</v>
      </c>
      <c r="D103" s="46">
        <f>PU_CIMENTCOLLE</f>
        <v>650</v>
      </c>
      <c r="E103" s="46">
        <f>C103*D103</f>
        <v>5200</v>
      </c>
    </row>
    <row r="104" spans="1:12" ht="15" customHeight="1" x14ac:dyDescent="0.25">
      <c r="A104" s="2" t="s">
        <v>647</v>
      </c>
      <c r="B104" s="2"/>
      <c r="C104" s="2"/>
      <c r="D104" s="2"/>
      <c r="E104" s="47">
        <f>E102+E103</f>
        <v>11800</v>
      </c>
      <c r="F104" s="34"/>
      <c r="G104" s="34"/>
      <c r="H104" s="34"/>
      <c r="I104" s="34"/>
      <c r="J104" s="34"/>
      <c r="K104" s="34"/>
      <c r="L104" s="34"/>
    </row>
    <row r="105" spans="1:12" x14ac:dyDescent="0.25">
      <c r="B105" s="15" t="s">
        <v>656</v>
      </c>
      <c r="C105" s="48">
        <f>PU_MO_FINITION_POURCENT</f>
        <v>0.22</v>
      </c>
      <c r="E105" s="46">
        <f>E104*C105</f>
        <v>2596</v>
      </c>
    </row>
    <row r="106" spans="1:12" ht="15" customHeight="1" x14ac:dyDescent="0.25">
      <c r="A106" s="2" t="s">
        <v>648</v>
      </c>
      <c r="B106" s="2"/>
      <c r="C106" s="2"/>
      <c r="D106" s="2"/>
      <c r="E106" s="47">
        <f>E104+E105</f>
        <v>14396</v>
      </c>
      <c r="F106" s="34"/>
      <c r="G106" s="34"/>
      <c r="H106" s="34"/>
      <c r="I106" s="34"/>
      <c r="J106" s="34"/>
      <c r="K106" s="34"/>
      <c r="L106" s="34"/>
    </row>
    <row r="108" spans="1:12" ht="15" customHeight="1" x14ac:dyDescent="0.25">
      <c r="A108" s="5" t="s">
        <v>659</v>
      </c>
      <c r="B108" s="5"/>
      <c r="C108" s="5"/>
      <c r="D108" s="5"/>
      <c r="E108" s="5"/>
      <c r="F108" s="5"/>
    </row>
    <row r="110" spans="1:12" x14ac:dyDescent="0.25">
      <c r="B110" s="8" t="s">
        <v>623</v>
      </c>
      <c r="C110" s="8" t="s">
        <v>624</v>
      </c>
      <c r="D110" s="8" t="s">
        <v>196</v>
      </c>
      <c r="E110" s="8" t="s">
        <v>625</v>
      </c>
      <c r="F110" s="8"/>
    </row>
    <row r="111" spans="1:12" x14ac:dyDescent="0.25">
      <c r="B111" s="15" t="s">
        <v>660</v>
      </c>
      <c r="C111" s="21">
        <v>1</v>
      </c>
      <c r="D111" s="49">
        <f>C8</f>
        <v>66666.666666666672</v>
      </c>
      <c r="E111" s="46">
        <f>C111*D111</f>
        <v>66666.666666666672</v>
      </c>
    </row>
    <row r="112" spans="1:12" x14ac:dyDescent="0.25">
      <c r="B112" s="15" t="s">
        <v>661</v>
      </c>
      <c r="C112" s="21">
        <f>CLOUS_CHARPENTE_KGM3</f>
        <v>20</v>
      </c>
      <c r="D112" s="46">
        <f>PU_CLOUS</f>
        <v>1000</v>
      </c>
      <c r="E112" s="46">
        <f>C112*D112</f>
        <v>20000</v>
      </c>
    </row>
    <row r="113" spans="1:12" ht="15" customHeight="1" x14ac:dyDescent="0.25">
      <c r="A113" s="2" t="s">
        <v>627</v>
      </c>
      <c r="B113" s="2"/>
      <c r="C113" s="2"/>
      <c r="D113" s="2"/>
      <c r="E113" s="47">
        <f>E111+E112</f>
        <v>86666.666666666672</v>
      </c>
      <c r="F113" s="34"/>
      <c r="G113" s="34"/>
      <c r="H113" s="34"/>
      <c r="I113" s="34"/>
      <c r="J113" s="34"/>
      <c r="K113" s="34"/>
      <c r="L113" s="34"/>
    </row>
    <row r="114" spans="1:12" x14ac:dyDescent="0.25">
      <c r="B114" s="15" t="s">
        <v>662</v>
      </c>
      <c r="C114" s="48">
        <f>PU_MO_FINITION_POURCENT</f>
        <v>0.22</v>
      </c>
      <c r="E114" s="46">
        <f>E113*C114</f>
        <v>19066.666666666668</v>
      </c>
    </row>
    <row r="115" spans="1:12" ht="15" customHeight="1" x14ac:dyDescent="0.25">
      <c r="A115" s="2" t="s">
        <v>629</v>
      </c>
      <c r="B115" s="2"/>
      <c r="C115" s="2"/>
      <c r="D115" s="2"/>
      <c r="E115" s="47">
        <f>E113+E114</f>
        <v>105733.33333333334</v>
      </c>
      <c r="F115" s="34"/>
      <c r="G115" s="34"/>
      <c r="H115" s="34"/>
      <c r="I115" s="34"/>
      <c r="J115" s="34"/>
      <c r="K115" s="34"/>
      <c r="L115" s="34"/>
    </row>
    <row r="117" spans="1:12" ht="15" customHeight="1" x14ac:dyDescent="0.25">
      <c r="A117" s="5" t="s">
        <v>663</v>
      </c>
      <c r="B117" s="5"/>
      <c r="C117" s="5"/>
      <c r="D117" s="5"/>
      <c r="E117" s="5"/>
      <c r="F117" s="5"/>
    </row>
    <row r="119" spans="1:12" x14ac:dyDescent="0.25">
      <c r="B119" s="8" t="s">
        <v>623</v>
      </c>
      <c r="C119" s="8" t="s">
        <v>640</v>
      </c>
      <c r="D119" s="8" t="s">
        <v>196</v>
      </c>
      <c r="E119" s="8" t="s">
        <v>641</v>
      </c>
      <c r="F119" s="8"/>
    </row>
    <row r="120" spans="1:12" ht="24" x14ac:dyDescent="0.25">
      <c r="B120" s="15" t="s">
        <v>664</v>
      </c>
      <c r="C120" s="38">
        <v>0.876</v>
      </c>
      <c r="D120" s="46">
        <f>PU_TOLE</f>
        <v>7500</v>
      </c>
      <c r="E120" s="46">
        <f>C120*D120</f>
        <v>6570</v>
      </c>
    </row>
    <row r="121" spans="1:12" x14ac:dyDescent="0.25">
      <c r="B121" s="15" t="s">
        <v>225</v>
      </c>
      <c r="C121" s="21">
        <f>2*CLOUS_COUVERTURE_KGM2</f>
        <v>0.2</v>
      </c>
      <c r="D121" s="46">
        <f>PU_CLOUS</f>
        <v>1000</v>
      </c>
      <c r="E121" s="46">
        <f>C121*D121</f>
        <v>200</v>
      </c>
    </row>
    <row r="122" spans="1:12" ht="15" customHeight="1" x14ac:dyDescent="0.25">
      <c r="A122" s="2" t="s">
        <v>647</v>
      </c>
      <c r="B122" s="2"/>
      <c r="C122" s="2"/>
      <c r="D122" s="2"/>
      <c r="E122" s="47">
        <f>E120+E121</f>
        <v>6770</v>
      </c>
      <c r="F122" s="34"/>
      <c r="G122" s="34"/>
      <c r="H122" s="34"/>
      <c r="I122" s="34"/>
      <c r="J122" s="34"/>
      <c r="K122" s="34"/>
      <c r="L122" s="34"/>
    </row>
    <row r="123" spans="1:12" x14ac:dyDescent="0.25">
      <c r="B123" s="15" t="s">
        <v>656</v>
      </c>
      <c r="C123" s="48">
        <f>PU_MO_FINITION_POURCENT</f>
        <v>0.22</v>
      </c>
      <c r="E123" s="46">
        <f>E122*C123</f>
        <v>1489.4</v>
      </c>
    </row>
    <row r="124" spans="1:12" ht="15" customHeight="1" x14ac:dyDescent="0.25">
      <c r="A124" s="2" t="s">
        <v>648</v>
      </c>
      <c r="B124" s="2"/>
      <c r="C124" s="2"/>
      <c r="D124" s="2"/>
      <c r="E124" s="47">
        <f>E122+E123</f>
        <v>8259.4</v>
      </c>
      <c r="F124" s="34"/>
      <c r="G124" s="34"/>
      <c r="H124" s="34"/>
      <c r="I124" s="34"/>
      <c r="J124" s="34"/>
      <c r="K124" s="34"/>
      <c r="L124" s="34"/>
    </row>
    <row r="126" spans="1:12" ht="15" customHeight="1" x14ac:dyDescent="0.25">
      <c r="A126" s="5" t="s">
        <v>665</v>
      </c>
      <c r="B126" s="5"/>
      <c r="C126" s="5"/>
      <c r="D126" s="5"/>
      <c r="E126" s="5"/>
      <c r="F126" s="5"/>
    </row>
    <row r="128" spans="1:12" x14ac:dyDescent="0.25">
      <c r="B128" s="8" t="s">
        <v>623</v>
      </c>
      <c r="C128" s="8"/>
      <c r="D128" s="8"/>
      <c r="E128" s="8" t="s">
        <v>625</v>
      </c>
      <c r="F128" s="8"/>
    </row>
    <row r="129" spans="2:5" ht="24" x14ac:dyDescent="0.25">
      <c r="B129" s="15" t="s">
        <v>666</v>
      </c>
      <c r="E129" s="30">
        <v>3500</v>
      </c>
    </row>
  </sheetData>
  <mergeCells count="36">
    <mergeCell ref="A126:F126"/>
    <mergeCell ref="A113:D113"/>
    <mergeCell ref="A115:D115"/>
    <mergeCell ref="A117:F117"/>
    <mergeCell ref="A122:D122"/>
    <mergeCell ref="A124:D124"/>
    <mergeCell ref="A97:D97"/>
    <mergeCell ref="A99:F99"/>
    <mergeCell ref="A104:D104"/>
    <mergeCell ref="A106:D106"/>
    <mergeCell ref="A108:F108"/>
    <mergeCell ref="A78:D78"/>
    <mergeCell ref="A80:F80"/>
    <mergeCell ref="A85:D85"/>
    <mergeCell ref="A87:F87"/>
    <mergeCell ref="A95:D95"/>
    <mergeCell ref="A59:F59"/>
    <mergeCell ref="A67:D67"/>
    <mergeCell ref="A69:D69"/>
    <mergeCell ref="A71:F71"/>
    <mergeCell ref="A76:D76"/>
    <mergeCell ref="A44:D44"/>
    <mergeCell ref="A46:D46"/>
    <mergeCell ref="A48:F48"/>
    <mergeCell ref="A55:D55"/>
    <mergeCell ref="A57:D57"/>
    <mergeCell ref="A20:D20"/>
    <mergeCell ref="A22:F22"/>
    <mergeCell ref="A30:D30"/>
    <mergeCell ref="A32:D32"/>
    <mergeCell ref="A34:F34"/>
    <mergeCell ref="A2:F2"/>
    <mergeCell ref="A3:F3"/>
    <mergeCell ref="A5:F5"/>
    <mergeCell ref="A10:F10"/>
    <mergeCell ref="A18:D18"/>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00000"/>
  </sheetPr>
  <dimension ref="A2:L116"/>
  <sheetViews>
    <sheetView showGridLines="0" zoomScaleNormal="100" workbookViewId="0">
      <pane xSplit="1" ySplit="7" topLeftCell="B118" activePane="bottomRight" state="frozen"/>
      <selection pane="topRight" activeCell="B1" sqref="B1"/>
      <selection pane="bottomLeft" activeCell="A8" sqref="A8"/>
      <selection pane="bottomRight"/>
    </sheetView>
  </sheetViews>
  <sheetFormatPr baseColWidth="10" defaultColWidth="8.7109375" defaultRowHeight="15" x14ac:dyDescent="0.25"/>
  <cols>
    <col min="1" max="1" width="6" customWidth="1"/>
    <col min="2" max="2" width="40" customWidth="1"/>
    <col min="3" max="3" width="9" customWidth="1"/>
    <col min="4" max="4" width="11" customWidth="1"/>
    <col min="5" max="5" width="13" customWidth="1"/>
    <col min="6" max="6" width="15" customWidth="1"/>
  </cols>
  <sheetData>
    <row r="2" spans="1:12" ht="31.5" customHeight="1" x14ac:dyDescent="0.25">
      <c r="A2" s="7" t="s">
        <v>667</v>
      </c>
      <c r="B2" s="7"/>
      <c r="C2" s="7"/>
      <c r="D2" s="7"/>
      <c r="E2" s="7"/>
      <c r="F2" s="7"/>
    </row>
    <row r="3" spans="1:12" ht="15" customHeight="1" x14ac:dyDescent="0.25">
      <c r="A3" s="6" t="s">
        <v>668</v>
      </c>
      <c r="B3" s="6"/>
      <c r="C3" s="6"/>
      <c r="D3" s="6"/>
      <c r="E3" s="6"/>
      <c r="F3" s="6"/>
    </row>
    <row r="5" spans="1:12" ht="20.85" customHeight="1" x14ac:dyDescent="0.25">
      <c r="A5" s="3" t="s">
        <v>669</v>
      </c>
      <c r="B5" s="3"/>
      <c r="C5" s="3"/>
      <c r="D5" s="3"/>
      <c r="E5" s="3"/>
      <c r="F5" s="3"/>
    </row>
    <row r="7" spans="1:12" x14ac:dyDescent="0.25">
      <c r="B7" s="8" t="s">
        <v>281</v>
      </c>
      <c r="C7" s="8" t="s">
        <v>67</v>
      </c>
      <c r="D7" s="8" t="s">
        <v>670</v>
      </c>
      <c r="E7" s="8" t="s">
        <v>671</v>
      </c>
      <c r="F7" s="8" t="s">
        <v>672</v>
      </c>
    </row>
    <row r="8" spans="1:12" ht="15" customHeight="1" x14ac:dyDescent="0.25">
      <c r="A8" s="50"/>
      <c r="B8" s="5" t="s">
        <v>673</v>
      </c>
      <c r="C8" s="5"/>
      <c r="D8" s="5"/>
      <c r="E8" s="5"/>
      <c r="F8" s="5"/>
    </row>
    <row r="9" spans="1:12" x14ac:dyDescent="0.25">
      <c r="A9" s="51" t="s">
        <v>674</v>
      </c>
      <c r="B9" s="15" t="s">
        <v>675</v>
      </c>
      <c r="C9" s="29" t="s">
        <v>676</v>
      </c>
      <c r="D9" s="41">
        <f>1</f>
        <v>1</v>
      </c>
      <c r="E9" s="49">
        <f>PU_AMENEE_REPLI</f>
        <v>200000</v>
      </c>
      <c r="F9" s="52">
        <f>D9*E9</f>
        <v>200000</v>
      </c>
    </row>
    <row r="10" spans="1:12" x14ac:dyDescent="0.25">
      <c r="A10" s="51" t="s">
        <v>677</v>
      </c>
      <c r="B10" s="15" t="s">
        <v>263</v>
      </c>
      <c r="C10" s="29" t="s">
        <v>204</v>
      </c>
      <c r="D10" s="39">
        <f>Fondation!$G$162</f>
        <v>4.5630000000000006</v>
      </c>
      <c r="E10" s="49">
        <f>PU_FOUILLE_PUITS</f>
        <v>1886</v>
      </c>
      <c r="F10" s="52">
        <f>D10*E10</f>
        <v>8605.8180000000011</v>
      </c>
    </row>
    <row r="11" spans="1:12" ht="24" x14ac:dyDescent="0.25">
      <c r="A11" s="51" t="s">
        <v>678</v>
      </c>
      <c r="B11" s="15" t="s">
        <v>679</v>
      </c>
      <c r="C11" s="29" t="s">
        <v>204</v>
      </c>
      <c r="D11" s="39">
        <f>Fondation!$G$163</f>
        <v>23.7315</v>
      </c>
      <c r="E11" s="49">
        <f>PU_FOUILLE_TRANCHEE</f>
        <v>1162</v>
      </c>
      <c r="F11" s="52">
        <f>D11*E11</f>
        <v>27576.003000000001</v>
      </c>
    </row>
    <row r="12" spans="1:12" x14ac:dyDescent="0.25">
      <c r="A12" s="51" t="s">
        <v>680</v>
      </c>
      <c r="B12" s="15" t="s">
        <v>400</v>
      </c>
      <c r="C12" s="29" t="s">
        <v>204</v>
      </c>
      <c r="D12" s="39">
        <f>Fondation!$G$160</f>
        <v>46.868575000000007</v>
      </c>
      <c r="E12" s="49">
        <f>PU_REMBLAI_FONDATION</f>
        <v>1505</v>
      </c>
      <c r="F12" s="52">
        <f>D12*E12</f>
        <v>70537.205375000005</v>
      </c>
    </row>
    <row r="13" spans="1:12" x14ac:dyDescent="0.25">
      <c r="A13" s="51" t="s">
        <v>681</v>
      </c>
      <c r="B13" s="15" t="s">
        <v>267</v>
      </c>
      <c r="C13" s="29" t="s">
        <v>204</v>
      </c>
      <c r="D13" s="39">
        <f>Fondation!$G$161</f>
        <v>0</v>
      </c>
      <c r="E13" s="49">
        <f>PU_EVACUATION_DEBLAIS</f>
        <v>1500</v>
      </c>
      <c r="F13" s="52">
        <f>D13*E13</f>
        <v>0</v>
      </c>
    </row>
    <row r="14" spans="1:12" ht="15" customHeight="1" x14ac:dyDescent="0.25">
      <c r="A14" s="2" t="s">
        <v>682</v>
      </c>
      <c r="B14" s="2"/>
      <c r="C14" s="2"/>
      <c r="D14" s="2"/>
      <c r="E14" s="2"/>
      <c r="F14" s="47">
        <f>SUM(F9:F13)</f>
        <v>306719.02637500002</v>
      </c>
      <c r="G14" s="34"/>
      <c r="H14" s="34"/>
      <c r="I14" s="34"/>
      <c r="J14" s="34"/>
      <c r="K14" s="34"/>
      <c r="L14" s="34"/>
    </row>
    <row r="16" spans="1:12" ht="15" customHeight="1" x14ac:dyDescent="0.25">
      <c r="A16" s="50"/>
      <c r="B16" s="5" t="s">
        <v>683</v>
      </c>
      <c r="C16" s="5"/>
      <c r="D16" s="5"/>
      <c r="E16" s="5"/>
      <c r="F16" s="5"/>
    </row>
    <row r="17" spans="1:12" x14ac:dyDescent="0.25">
      <c r="A17" s="51" t="s">
        <v>684</v>
      </c>
      <c r="B17" s="15" t="s">
        <v>197</v>
      </c>
      <c r="C17" s="29" t="s">
        <v>685</v>
      </c>
      <c r="D17" s="41">
        <f>Fondation!$G$169</f>
        <v>94</v>
      </c>
      <c r="E17" s="49">
        <f>PU_CIMENT</f>
        <v>5500</v>
      </c>
      <c r="F17" s="52">
        <f t="shared" ref="F17:F31" si="0">D17*E17</f>
        <v>517000</v>
      </c>
    </row>
    <row r="18" spans="1:12" x14ac:dyDescent="0.25">
      <c r="A18" s="51" t="s">
        <v>686</v>
      </c>
      <c r="B18" s="15" t="s">
        <v>201</v>
      </c>
      <c r="C18" s="29" t="s">
        <v>200</v>
      </c>
      <c r="D18" s="39">
        <f>Fondation!$G$170</f>
        <v>17.503680000000003</v>
      </c>
      <c r="E18" s="49">
        <f>PU_GRAVIER</f>
        <v>25000</v>
      </c>
      <c r="F18" s="52">
        <f t="shared" si="0"/>
        <v>437592.00000000006</v>
      </c>
    </row>
    <row r="19" spans="1:12" x14ac:dyDescent="0.25">
      <c r="A19" s="51" t="s">
        <v>687</v>
      </c>
      <c r="B19" s="15" t="s">
        <v>199</v>
      </c>
      <c r="C19" s="29" t="s">
        <v>200</v>
      </c>
      <c r="D19" s="39">
        <f>Fondation!$G$171</f>
        <v>13.133700000000001</v>
      </c>
      <c r="E19" s="49">
        <f>PU_SABLE</f>
        <v>15000</v>
      </c>
      <c r="F19" s="52">
        <f t="shared" si="0"/>
        <v>197005.50000000003</v>
      </c>
    </row>
    <row r="20" spans="1:12" x14ac:dyDescent="0.25">
      <c r="A20" s="51" t="s">
        <v>688</v>
      </c>
      <c r="B20" s="15" t="s">
        <v>308</v>
      </c>
      <c r="C20" s="29" t="s">
        <v>204</v>
      </c>
      <c r="D20" s="39">
        <f>(Fondation!$G$172)/1000</f>
        <v>2.27239375</v>
      </c>
      <c r="E20" s="49">
        <f>PU_EAU</f>
        <v>1500</v>
      </c>
      <c r="F20" s="52">
        <f t="shared" si="0"/>
        <v>3408.5906249999998</v>
      </c>
    </row>
    <row r="21" spans="1:12" x14ac:dyDescent="0.25">
      <c r="A21" s="51" t="s">
        <v>689</v>
      </c>
      <c r="B21" s="15" t="s">
        <v>202</v>
      </c>
      <c r="C21" s="29" t="s">
        <v>200</v>
      </c>
      <c r="D21" s="39">
        <f>Fondation!$G$173</f>
        <v>12.267359999999998</v>
      </c>
      <c r="E21" s="49">
        <f>PU_MOELLON</f>
        <v>17000</v>
      </c>
      <c r="F21" s="52">
        <f t="shared" si="0"/>
        <v>208545.11999999997</v>
      </c>
    </row>
    <row r="22" spans="1:12" x14ac:dyDescent="0.25">
      <c r="A22" s="51" t="s">
        <v>690</v>
      </c>
      <c r="B22" s="15" t="s">
        <v>403</v>
      </c>
      <c r="C22" s="29" t="s">
        <v>269</v>
      </c>
      <c r="D22" s="39">
        <f>Fondation!$G$165</f>
        <v>36.51</v>
      </c>
      <c r="E22" s="49">
        <f>PU_MUR_SOUBASSEMENT</f>
        <v>6045</v>
      </c>
      <c r="F22" s="52">
        <f t="shared" si="0"/>
        <v>220702.94999999998</v>
      </c>
    </row>
    <row r="23" spans="1:12" x14ac:dyDescent="0.25">
      <c r="A23" s="51" t="s">
        <v>691</v>
      </c>
      <c r="B23" s="15" t="s">
        <v>406</v>
      </c>
      <c r="C23" s="29" t="s">
        <v>223</v>
      </c>
      <c r="D23" s="41">
        <f>Fondation!$G$174</f>
        <v>64</v>
      </c>
      <c r="E23" s="49">
        <f>PU_PLANCHE</f>
        <v>3000</v>
      </c>
      <c r="F23" s="52">
        <f t="shared" si="0"/>
        <v>192000</v>
      </c>
    </row>
    <row r="24" spans="1:12" x14ac:dyDescent="0.25">
      <c r="A24" s="51" t="s">
        <v>692</v>
      </c>
      <c r="B24" s="15" t="s">
        <v>408</v>
      </c>
      <c r="C24" s="29" t="s">
        <v>223</v>
      </c>
      <c r="D24" s="41">
        <f>Fondation!$G$175</f>
        <v>47</v>
      </c>
      <c r="E24" s="49">
        <f>PU_CHEVRON</f>
        <v>2200</v>
      </c>
      <c r="F24" s="52">
        <f t="shared" si="0"/>
        <v>103400</v>
      </c>
    </row>
    <row r="25" spans="1:12" x14ac:dyDescent="0.25">
      <c r="A25" s="51" t="s">
        <v>693</v>
      </c>
      <c r="B25" s="15" t="s">
        <v>340</v>
      </c>
      <c r="C25" s="29" t="s">
        <v>69</v>
      </c>
      <c r="D25" s="39">
        <f>Fondation!$G$177</f>
        <v>10.367999999999999</v>
      </c>
      <c r="E25" s="49">
        <f>PU_CLOUS</f>
        <v>1000</v>
      </c>
      <c r="F25" s="52">
        <f t="shared" si="0"/>
        <v>10367.999999999998</v>
      </c>
    </row>
    <row r="26" spans="1:12" x14ac:dyDescent="0.25">
      <c r="A26" s="51" t="s">
        <v>694</v>
      </c>
      <c r="B26" s="15" t="s">
        <v>695</v>
      </c>
      <c r="C26" s="29" t="s">
        <v>209</v>
      </c>
      <c r="D26" s="41">
        <f>Fondation!$G$182</f>
        <v>5</v>
      </c>
      <c r="E26" s="49">
        <f>IFERROR(INDEX(TAB_PRIX_ACIER_VAL,MATCH(Fondation!$C$182,TAB_PRIX_ACIER_DIAM,0)),0)</f>
        <v>4200</v>
      </c>
      <c r="F26" s="52">
        <f t="shared" si="0"/>
        <v>21000</v>
      </c>
    </row>
    <row r="27" spans="1:12" x14ac:dyDescent="0.25">
      <c r="A27" s="51" t="s">
        <v>696</v>
      </c>
      <c r="B27" s="15" t="s">
        <v>697</v>
      </c>
      <c r="C27" s="29" t="s">
        <v>209</v>
      </c>
      <c r="D27" s="41">
        <f>Fondation!$G$183</f>
        <v>6</v>
      </c>
      <c r="E27" s="49">
        <f>IFERROR(INDEX(TAB_PRIX_ACIER_VAL,MATCH(Fondation!$C$183,TAB_PRIX_ACIER_DIAM,0)),0)</f>
        <v>4200</v>
      </c>
      <c r="F27" s="52">
        <f t="shared" si="0"/>
        <v>25200</v>
      </c>
    </row>
    <row r="28" spans="1:12" x14ac:dyDescent="0.25">
      <c r="A28" s="51" t="s">
        <v>698</v>
      </c>
      <c r="B28" s="15" t="s">
        <v>699</v>
      </c>
      <c r="C28" s="29" t="s">
        <v>209</v>
      </c>
      <c r="D28" s="41">
        <f>Fondation!$G$184</f>
        <v>3</v>
      </c>
      <c r="E28" s="49">
        <f>IFERROR(INDEX(TAB_PRIX_ACIER_RL_VAL,MATCH(Fondation!$C$184,TAB_PRIX_ACIER_RL_DIAM,0)),0)</f>
        <v>2250</v>
      </c>
      <c r="F28" s="52">
        <f t="shared" si="0"/>
        <v>6750</v>
      </c>
    </row>
    <row r="29" spans="1:12" x14ac:dyDescent="0.25">
      <c r="A29" s="51" t="s">
        <v>700</v>
      </c>
      <c r="B29" s="15" t="s">
        <v>701</v>
      </c>
      <c r="C29" s="29" t="s">
        <v>209</v>
      </c>
      <c r="D29" s="41">
        <f>Fondation!$G$185</f>
        <v>8</v>
      </c>
      <c r="E29" s="49">
        <f>IFERROR(INDEX(TAB_PRIX_ACIER_VAL,MATCH(Fondation!$C$185,TAB_PRIX_ACIER_DIAM,0)),0)</f>
        <v>6000</v>
      </c>
      <c r="F29" s="52">
        <f t="shared" si="0"/>
        <v>48000</v>
      </c>
    </row>
    <row r="30" spans="1:12" x14ac:dyDescent="0.25">
      <c r="A30" s="51" t="s">
        <v>702</v>
      </c>
      <c r="B30" s="15" t="s">
        <v>703</v>
      </c>
      <c r="C30" s="29" t="s">
        <v>209</v>
      </c>
      <c r="D30" s="41">
        <f>Fondation!$G$186</f>
        <v>24</v>
      </c>
      <c r="E30" s="49">
        <f>IFERROR(INDEX(TAB_PRIX_ACIER_RL_VAL,MATCH(Fondation!$C$186,TAB_PRIX_ACIER_RL_DIAM,0)),0)</f>
        <v>1250</v>
      </c>
      <c r="F30" s="52">
        <f t="shared" si="0"/>
        <v>30000</v>
      </c>
    </row>
    <row r="31" spans="1:12" x14ac:dyDescent="0.25">
      <c r="A31" s="51" t="s">
        <v>704</v>
      </c>
      <c r="B31" s="15" t="s">
        <v>705</v>
      </c>
      <c r="C31" s="29" t="s">
        <v>69</v>
      </c>
      <c r="D31" s="39">
        <f>Fondation!$G$178</f>
        <v>12.204000000000001</v>
      </c>
      <c r="E31" s="49">
        <f>PU_FIL</f>
        <v>1200</v>
      </c>
      <c r="F31" s="52">
        <f t="shared" si="0"/>
        <v>14644.800000000001</v>
      </c>
    </row>
    <row r="32" spans="1:12" ht="15" customHeight="1" x14ac:dyDescent="0.25">
      <c r="A32" s="2" t="s">
        <v>706</v>
      </c>
      <c r="B32" s="2"/>
      <c r="C32" s="2"/>
      <c r="D32" s="2"/>
      <c r="E32" s="2"/>
      <c r="F32" s="47">
        <f>SUM(F17:F31)</f>
        <v>2035616.9606249998</v>
      </c>
      <c r="G32" s="34"/>
      <c r="H32" s="34"/>
      <c r="I32" s="34"/>
      <c r="J32" s="34"/>
      <c r="K32" s="34"/>
      <c r="L32" s="34"/>
    </row>
    <row r="34" spans="1:6" ht="15" customHeight="1" x14ac:dyDescent="0.25">
      <c r="A34" s="50"/>
      <c r="B34" s="5" t="s">
        <v>707</v>
      </c>
      <c r="C34" s="5"/>
      <c r="D34" s="5"/>
      <c r="E34" s="5"/>
      <c r="F34" s="5"/>
    </row>
    <row r="35" spans="1:6" x14ac:dyDescent="0.25">
      <c r="A35" s="51" t="s">
        <v>708</v>
      </c>
      <c r="B35" s="15" t="s">
        <v>709</v>
      </c>
      <c r="C35" s="29" t="s">
        <v>223</v>
      </c>
      <c r="D35" s="41">
        <f>Elevation!$G$209</f>
        <v>1774</v>
      </c>
      <c r="E35" s="49">
        <f>PU_BLOC15</f>
        <v>350</v>
      </c>
      <c r="F35" s="52">
        <f t="shared" ref="F35:F54" si="1">D35*E35</f>
        <v>620900</v>
      </c>
    </row>
    <row r="36" spans="1:6" x14ac:dyDescent="0.25">
      <c r="A36" s="51" t="s">
        <v>710</v>
      </c>
      <c r="B36" s="15" t="s">
        <v>197</v>
      </c>
      <c r="C36" s="29" t="s">
        <v>685</v>
      </c>
      <c r="D36" s="41">
        <f>Elevation!$G$205</f>
        <v>81</v>
      </c>
      <c r="E36" s="49">
        <f>PU_CIMENT</f>
        <v>5500</v>
      </c>
      <c r="F36" s="52">
        <f t="shared" si="1"/>
        <v>445500</v>
      </c>
    </row>
    <row r="37" spans="1:6" x14ac:dyDescent="0.25">
      <c r="A37" s="51" t="s">
        <v>711</v>
      </c>
      <c r="B37" s="15" t="s">
        <v>201</v>
      </c>
      <c r="C37" s="29" t="s">
        <v>200</v>
      </c>
      <c r="D37" s="39">
        <f>Elevation!$G$206</f>
        <v>11.34976</v>
      </c>
      <c r="E37" s="49">
        <f>PU_GRAVIER</f>
        <v>25000</v>
      </c>
      <c r="F37" s="52">
        <f t="shared" si="1"/>
        <v>283744</v>
      </c>
    </row>
    <row r="38" spans="1:6" x14ac:dyDescent="0.25">
      <c r="A38" s="51" t="s">
        <v>712</v>
      </c>
      <c r="B38" s="15" t="s">
        <v>199</v>
      </c>
      <c r="C38" s="29" t="s">
        <v>200</v>
      </c>
      <c r="D38" s="39">
        <f>Elevation!$G$207</f>
        <v>8.6676170454545449</v>
      </c>
      <c r="E38" s="49">
        <f>PU_SABLE</f>
        <v>15000</v>
      </c>
      <c r="F38" s="52">
        <f t="shared" si="1"/>
        <v>130014.25568181818</v>
      </c>
    </row>
    <row r="39" spans="1:6" x14ac:dyDescent="0.25">
      <c r="A39" s="51" t="s">
        <v>713</v>
      </c>
      <c r="B39" s="15" t="s">
        <v>308</v>
      </c>
      <c r="C39" s="29" t="s">
        <v>204</v>
      </c>
      <c r="D39" s="39">
        <f>(Elevation!$G$208)/1000</f>
        <v>1.9267249999999998</v>
      </c>
      <c r="E39" s="49">
        <f>PU_EAU</f>
        <v>1500</v>
      </c>
      <c r="F39" s="52">
        <f t="shared" si="1"/>
        <v>2890.0874999999996</v>
      </c>
    </row>
    <row r="40" spans="1:6" x14ac:dyDescent="0.25">
      <c r="A40" s="51" t="s">
        <v>714</v>
      </c>
      <c r="B40" s="15" t="s">
        <v>406</v>
      </c>
      <c r="C40" s="29" t="s">
        <v>223</v>
      </c>
      <c r="D40" s="41">
        <f>Elevation!$G$210</f>
        <v>169</v>
      </c>
      <c r="E40" s="49">
        <f>PU_PLANCHE</f>
        <v>3000</v>
      </c>
      <c r="F40" s="52">
        <f t="shared" si="1"/>
        <v>507000</v>
      </c>
    </row>
    <row r="41" spans="1:6" x14ac:dyDescent="0.25">
      <c r="A41" s="51" t="s">
        <v>715</v>
      </c>
      <c r="B41" s="15" t="s">
        <v>408</v>
      </c>
      <c r="C41" s="29" t="s">
        <v>223</v>
      </c>
      <c r="D41" s="41">
        <f>Elevation!$G$211</f>
        <v>76</v>
      </c>
      <c r="E41" s="49">
        <f>PU_CHEVRON</f>
        <v>2200</v>
      </c>
      <c r="F41" s="52">
        <f t="shared" si="1"/>
        <v>167200</v>
      </c>
    </row>
    <row r="42" spans="1:6" x14ac:dyDescent="0.25">
      <c r="A42" s="51" t="s">
        <v>716</v>
      </c>
      <c r="B42" s="15" t="s">
        <v>340</v>
      </c>
      <c r="C42" s="29" t="s">
        <v>69</v>
      </c>
      <c r="D42" s="39">
        <f>Elevation!$G$213</f>
        <v>27.378</v>
      </c>
      <c r="E42" s="49">
        <f>PU_CLOUS</f>
        <v>1000</v>
      </c>
      <c r="F42" s="52">
        <f t="shared" si="1"/>
        <v>27378</v>
      </c>
    </row>
    <row r="43" spans="1:6" x14ac:dyDescent="0.25">
      <c r="A43" s="51" t="s">
        <v>717</v>
      </c>
      <c r="B43" s="15" t="s">
        <v>718</v>
      </c>
      <c r="C43" s="29" t="s">
        <v>209</v>
      </c>
      <c r="D43" s="41">
        <f>Elevation!$G$218</f>
        <v>16</v>
      </c>
      <c r="E43" s="49">
        <f>IFERROR(INDEX(TAB_PRIX_ACIER_VAL,MATCH(Elevation!$C$218,TAB_PRIX_ACIER_DIAM,0)),0)</f>
        <v>6000</v>
      </c>
      <c r="F43" s="52">
        <f t="shared" si="1"/>
        <v>96000</v>
      </c>
    </row>
    <row r="44" spans="1:6" x14ac:dyDescent="0.25">
      <c r="A44" s="51" t="s">
        <v>719</v>
      </c>
      <c r="B44" s="15" t="s">
        <v>720</v>
      </c>
      <c r="C44" s="29" t="s">
        <v>209</v>
      </c>
      <c r="D44" s="41">
        <f>Elevation!$G$219</f>
        <v>15</v>
      </c>
      <c r="E44" s="49">
        <f>IFERROR(INDEX(TAB_PRIX_ACIER_RL_VAL,MATCH(Elevation!$C$219,TAB_PRIX_ACIER_RL_DIAM,0)),0)</f>
        <v>2250</v>
      </c>
      <c r="F44" s="52">
        <f t="shared" si="1"/>
        <v>33750</v>
      </c>
    </row>
    <row r="45" spans="1:6" x14ac:dyDescent="0.25">
      <c r="A45" s="51" t="s">
        <v>721</v>
      </c>
      <c r="B45" s="15" t="s">
        <v>722</v>
      </c>
      <c r="C45" s="29" t="s">
        <v>209</v>
      </c>
      <c r="D45" s="41">
        <f>Elevation!$G$220</f>
        <v>16</v>
      </c>
      <c r="E45" s="49">
        <f>IFERROR(INDEX(TAB_PRIX_ACIER_VAL,MATCH(Elevation!$C$220,TAB_PRIX_ACIER_DIAM,0)),0)</f>
        <v>6000</v>
      </c>
      <c r="F45" s="52">
        <f t="shared" si="1"/>
        <v>96000</v>
      </c>
    </row>
    <row r="46" spans="1:6" x14ac:dyDescent="0.25">
      <c r="A46" s="51" t="s">
        <v>723</v>
      </c>
      <c r="B46" s="15" t="s">
        <v>724</v>
      </c>
      <c r="C46" s="29" t="s">
        <v>209</v>
      </c>
      <c r="D46" s="41">
        <f>Elevation!$G$221</f>
        <v>15</v>
      </c>
      <c r="E46" s="49">
        <f>IFERROR(INDEX(TAB_PRIX_ACIER_RL_VAL,MATCH(Elevation!$C$221,TAB_PRIX_ACIER_RL_DIAM,0)),0)</f>
        <v>2250</v>
      </c>
      <c r="F46" s="52">
        <f t="shared" si="1"/>
        <v>33750</v>
      </c>
    </row>
    <row r="47" spans="1:6" x14ac:dyDescent="0.25">
      <c r="A47" s="51" t="s">
        <v>725</v>
      </c>
      <c r="B47" s="15" t="s">
        <v>726</v>
      </c>
      <c r="C47" s="29" t="s">
        <v>209</v>
      </c>
      <c r="D47" s="41">
        <f>Elevation!$G$222</f>
        <v>8</v>
      </c>
      <c r="E47" s="49">
        <f>IFERROR(INDEX(TAB_PRIX_ACIER_VAL,MATCH(Elevation!$C$222,TAB_PRIX_ACIER_DIAM,0)),0)</f>
        <v>6000</v>
      </c>
      <c r="F47" s="52">
        <f t="shared" si="1"/>
        <v>48000</v>
      </c>
    </row>
    <row r="48" spans="1:6" x14ac:dyDescent="0.25">
      <c r="A48" s="51" t="s">
        <v>727</v>
      </c>
      <c r="B48" s="15" t="s">
        <v>728</v>
      </c>
      <c r="C48" s="29" t="s">
        <v>209</v>
      </c>
      <c r="D48" s="41">
        <f>Elevation!$G$223</f>
        <v>9</v>
      </c>
      <c r="E48" s="49">
        <f>IFERROR(INDEX(TAB_PRIX_ACIER_RL_VAL,MATCH(Elevation!$C$223,TAB_PRIX_ACIER_RL_DIAM,0)),0)</f>
        <v>1250</v>
      </c>
      <c r="F48" s="52">
        <f t="shared" si="1"/>
        <v>11250</v>
      </c>
    </row>
    <row r="49" spans="1:12" x14ac:dyDescent="0.25">
      <c r="A49" s="51" t="s">
        <v>729</v>
      </c>
      <c r="B49" s="15" t="s">
        <v>730</v>
      </c>
      <c r="C49" s="29" t="s">
        <v>209</v>
      </c>
      <c r="D49" s="41">
        <f>Elevation!$G$224</f>
        <v>8</v>
      </c>
      <c r="E49" s="49">
        <f>IFERROR(INDEX(TAB_PRIX_ACIER_VAL,MATCH(Elevation!$C$224,TAB_PRIX_ACIER_DIAM,0)),0)</f>
        <v>6000</v>
      </c>
      <c r="F49" s="52">
        <f t="shared" si="1"/>
        <v>48000</v>
      </c>
    </row>
    <row r="50" spans="1:12" x14ac:dyDescent="0.25">
      <c r="A50" s="51" t="s">
        <v>731</v>
      </c>
      <c r="B50" s="15" t="s">
        <v>732</v>
      </c>
      <c r="C50" s="29" t="s">
        <v>209</v>
      </c>
      <c r="D50" s="41">
        <f>Elevation!$G$225</f>
        <v>9</v>
      </c>
      <c r="E50" s="49">
        <f>IFERROR(INDEX(TAB_PRIX_ACIER_RL_VAL,MATCH(Elevation!$C$225,TAB_PRIX_ACIER_RL_DIAM,0)),0)</f>
        <v>1250</v>
      </c>
      <c r="F50" s="52">
        <f t="shared" si="1"/>
        <v>11250</v>
      </c>
    </row>
    <row r="51" spans="1:12" x14ac:dyDescent="0.25">
      <c r="A51" s="51" t="s">
        <v>733</v>
      </c>
      <c r="B51" s="15" t="s">
        <v>734</v>
      </c>
      <c r="C51" s="29" t="s">
        <v>209</v>
      </c>
      <c r="D51" s="41">
        <f>Elevation!$G$226</f>
        <v>3</v>
      </c>
      <c r="E51" s="49">
        <f>IFERROR(INDEX(TAB_PRIX_ACIER_VAL,MATCH(Elevation!$C$226,TAB_PRIX_ACIER_DIAM,0)),0)</f>
        <v>4200</v>
      </c>
      <c r="F51" s="52">
        <f t="shared" si="1"/>
        <v>12600</v>
      </c>
    </row>
    <row r="52" spans="1:12" x14ac:dyDescent="0.25">
      <c r="A52" s="51" t="s">
        <v>735</v>
      </c>
      <c r="B52" s="15" t="s">
        <v>736</v>
      </c>
      <c r="C52" s="29" t="s">
        <v>209</v>
      </c>
      <c r="D52" s="41">
        <f>Elevation!$G$227</f>
        <v>3</v>
      </c>
      <c r="E52" s="49">
        <f>IFERROR(INDEX(TAB_PRIX_ACIER_VAL,MATCH(Elevation!$C$227,TAB_PRIX_ACIER_DIAM,0)),0)</f>
        <v>4200</v>
      </c>
      <c r="F52" s="52">
        <f t="shared" si="1"/>
        <v>12600</v>
      </c>
    </row>
    <row r="53" spans="1:12" x14ac:dyDescent="0.25">
      <c r="A53" s="51" t="s">
        <v>737</v>
      </c>
      <c r="B53" s="15" t="s">
        <v>738</v>
      </c>
      <c r="C53" s="29" t="s">
        <v>209</v>
      </c>
      <c r="D53" s="41">
        <f>Elevation!$G$228</f>
        <v>48</v>
      </c>
      <c r="E53" s="49">
        <f>IFERROR(INDEX(TAB_PRIX_ACIER_VAL,MATCH(Elevation!$C$228,TAB_PRIX_ACIER_DIAM,0)),0)</f>
        <v>4200</v>
      </c>
      <c r="F53" s="52">
        <f t="shared" si="1"/>
        <v>201600</v>
      </c>
    </row>
    <row r="54" spans="1:12" x14ac:dyDescent="0.25">
      <c r="A54" s="51" t="s">
        <v>739</v>
      </c>
      <c r="B54" s="15" t="s">
        <v>705</v>
      </c>
      <c r="C54" s="29" t="s">
        <v>69</v>
      </c>
      <c r="D54" s="39">
        <f>Elevation!$G$214</f>
        <v>54.572800000000001</v>
      </c>
      <c r="E54" s="49">
        <f>PU_FIL</f>
        <v>1200</v>
      </c>
      <c r="F54" s="52">
        <f t="shared" si="1"/>
        <v>65487.360000000001</v>
      </c>
    </row>
    <row r="55" spans="1:12" ht="15" customHeight="1" x14ac:dyDescent="0.25">
      <c r="A55" s="2" t="s">
        <v>740</v>
      </c>
      <c r="B55" s="2"/>
      <c r="C55" s="2"/>
      <c r="D55" s="2"/>
      <c r="E55" s="2"/>
      <c r="F55" s="47">
        <f>SUM(F35:F54)</f>
        <v>2854913.7031818177</v>
      </c>
      <c r="G55" s="34"/>
      <c r="H55" s="34"/>
      <c r="I55" s="34"/>
      <c r="J55" s="34"/>
      <c r="K55" s="34"/>
      <c r="L55" s="34"/>
    </row>
    <row r="57" spans="1:12" ht="15" customHeight="1" x14ac:dyDescent="0.25">
      <c r="A57" s="50"/>
      <c r="B57" s="5" t="s">
        <v>741</v>
      </c>
      <c r="C57" s="5"/>
      <c r="D57" s="5"/>
      <c r="E57" s="5"/>
      <c r="F57" s="5"/>
    </row>
    <row r="58" spans="1:12" x14ac:dyDescent="0.25">
      <c r="A58" s="51" t="s">
        <v>742</v>
      </c>
      <c r="B58" s="15" t="s">
        <v>521</v>
      </c>
      <c r="C58" s="29" t="s">
        <v>685</v>
      </c>
      <c r="D58" s="41">
        <f>Dalle!$G$66</f>
        <v>49</v>
      </c>
      <c r="E58" s="49">
        <f>PU_CIMENT</f>
        <v>5500</v>
      </c>
      <c r="F58" s="52">
        <f t="shared" ref="F58:F68" si="2">D58*E58</f>
        <v>269500</v>
      </c>
    </row>
    <row r="59" spans="1:12" x14ac:dyDescent="0.25">
      <c r="A59" s="51" t="s">
        <v>743</v>
      </c>
      <c r="B59" s="15" t="s">
        <v>522</v>
      </c>
      <c r="C59" s="29" t="s">
        <v>200</v>
      </c>
      <c r="D59" s="39">
        <f>Dalle!$G$67</f>
        <v>8.8316800000000022</v>
      </c>
      <c r="E59" s="49">
        <f>PU_GRAVIER</f>
        <v>25000</v>
      </c>
      <c r="F59" s="52">
        <f t="shared" si="2"/>
        <v>220792.00000000006</v>
      </c>
    </row>
    <row r="60" spans="1:12" x14ac:dyDescent="0.25">
      <c r="A60" s="51" t="s">
        <v>744</v>
      </c>
      <c r="B60" s="15" t="s">
        <v>523</v>
      </c>
      <c r="C60" s="29" t="s">
        <v>200</v>
      </c>
      <c r="D60" s="39">
        <f>Dalle!$G$68</f>
        <v>4.1398500000000009</v>
      </c>
      <c r="E60" s="49">
        <f>PU_SABLE</f>
        <v>15000</v>
      </c>
      <c r="F60" s="52">
        <f t="shared" si="2"/>
        <v>62097.750000000015</v>
      </c>
    </row>
    <row r="61" spans="1:12" x14ac:dyDescent="0.25">
      <c r="A61" s="51" t="s">
        <v>745</v>
      </c>
      <c r="B61" s="15" t="s">
        <v>524</v>
      </c>
      <c r="C61" s="29" t="s">
        <v>204</v>
      </c>
      <c r="D61" s="39">
        <f>(Dalle!$G$69)/1000</f>
        <v>1.2074562500000001</v>
      </c>
      <c r="E61" s="49">
        <f>PU_EAU</f>
        <v>1500</v>
      </c>
      <c r="F61" s="52">
        <f t="shared" si="2"/>
        <v>1811.1843750000003</v>
      </c>
    </row>
    <row r="62" spans="1:12" x14ac:dyDescent="0.25">
      <c r="A62" s="51" t="s">
        <v>746</v>
      </c>
      <c r="B62" s="15" t="s">
        <v>406</v>
      </c>
      <c r="C62" s="29" t="s">
        <v>223</v>
      </c>
      <c r="D62" s="41">
        <f>Dalle!$G$70</f>
        <v>95</v>
      </c>
      <c r="E62" s="49">
        <f>PU_PLANCHE</f>
        <v>3000</v>
      </c>
      <c r="F62" s="52">
        <f t="shared" si="2"/>
        <v>285000</v>
      </c>
    </row>
    <row r="63" spans="1:12" x14ac:dyDescent="0.25">
      <c r="A63" s="51" t="s">
        <v>747</v>
      </c>
      <c r="B63" s="15" t="s">
        <v>408</v>
      </c>
      <c r="C63" s="29" t="s">
        <v>223</v>
      </c>
      <c r="D63" s="41">
        <f>Dalle!$G$71</f>
        <v>69</v>
      </c>
      <c r="E63" s="49">
        <f>PU_CHEVRON</f>
        <v>2200</v>
      </c>
      <c r="F63" s="52">
        <f t="shared" si="2"/>
        <v>151800</v>
      </c>
    </row>
    <row r="64" spans="1:12" x14ac:dyDescent="0.25">
      <c r="A64" s="51" t="s">
        <v>748</v>
      </c>
      <c r="B64" s="15" t="s">
        <v>340</v>
      </c>
      <c r="C64" s="29" t="s">
        <v>69</v>
      </c>
      <c r="D64" s="39">
        <f>Dalle!$G$73</f>
        <v>15.389999999999999</v>
      </c>
      <c r="E64" s="49">
        <f>PU_CLOUS</f>
        <v>1000</v>
      </c>
      <c r="F64" s="52">
        <f t="shared" si="2"/>
        <v>15389.999999999998</v>
      </c>
    </row>
    <row r="65" spans="1:12" x14ac:dyDescent="0.25">
      <c r="A65" s="51" t="s">
        <v>749</v>
      </c>
      <c r="B65" s="15" t="s">
        <v>750</v>
      </c>
      <c r="C65" s="29" t="s">
        <v>209</v>
      </c>
      <c r="D65" s="41">
        <f>Dalle!$G$77</f>
        <v>49</v>
      </c>
      <c r="E65" s="49">
        <f>IFERROR(INDEX(TAB_PRIX_ACIER_VAL,MATCH(Dalle!$C$77,TAB_PRIX_ACIER_DIAM,0)),0)</f>
        <v>4200</v>
      </c>
      <c r="F65" s="52">
        <f t="shared" si="2"/>
        <v>205800</v>
      </c>
    </row>
    <row r="66" spans="1:12" x14ac:dyDescent="0.25">
      <c r="A66" s="51" t="s">
        <v>751</v>
      </c>
      <c r="B66" s="15" t="s">
        <v>752</v>
      </c>
      <c r="C66" s="29" t="s">
        <v>209</v>
      </c>
      <c r="D66" s="41">
        <f>Dalle!$G$78</f>
        <v>66</v>
      </c>
      <c r="E66" s="49">
        <f>IFERROR(INDEX(TAB_PRIX_ACIER_VAL,MATCH(Dalle!$C$78,TAB_PRIX_ACIER_DIAM,0)),0)</f>
        <v>4200</v>
      </c>
      <c r="F66" s="52">
        <f t="shared" si="2"/>
        <v>277200</v>
      </c>
    </row>
    <row r="67" spans="1:12" x14ac:dyDescent="0.25">
      <c r="A67" s="51" t="s">
        <v>753</v>
      </c>
      <c r="B67" s="15" t="s">
        <v>705</v>
      </c>
      <c r="C67" s="29" t="s">
        <v>69</v>
      </c>
      <c r="D67" s="39">
        <f>Dalle!$G$74</f>
        <v>42.573000000000008</v>
      </c>
      <c r="E67" s="49">
        <f>PU_FIL</f>
        <v>1200</v>
      </c>
      <c r="F67" s="52">
        <f t="shared" si="2"/>
        <v>51087.600000000006</v>
      </c>
    </row>
    <row r="68" spans="1:12" x14ac:dyDescent="0.25">
      <c r="A68" s="51" t="s">
        <v>754</v>
      </c>
      <c r="B68" s="15" t="s">
        <v>755</v>
      </c>
      <c r="C68" s="29" t="s">
        <v>269</v>
      </c>
      <c r="D68" s="39">
        <f>Dalle!$G$65</f>
        <v>68.997500000000002</v>
      </c>
      <c r="E68" s="49">
        <f>PU_HOURDIS_12_4</f>
        <v>9500</v>
      </c>
      <c r="F68" s="52">
        <f t="shared" si="2"/>
        <v>655476.25</v>
      </c>
    </row>
    <row r="69" spans="1:12" ht="15" customHeight="1" x14ac:dyDescent="0.25">
      <c r="A69" s="2" t="s">
        <v>756</v>
      </c>
      <c r="B69" s="2"/>
      <c r="C69" s="2"/>
      <c r="D69" s="2"/>
      <c r="E69" s="2"/>
      <c r="F69" s="47">
        <f>SUM(F58:F68)</f>
        <v>2195954.7843750003</v>
      </c>
      <c r="G69" s="34"/>
      <c r="H69" s="34"/>
      <c r="I69" s="34"/>
      <c r="J69" s="34"/>
      <c r="K69" s="34"/>
      <c r="L69" s="34"/>
    </row>
    <row r="71" spans="1:12" ht="15" customHeight="1" x14ac:dyDescent="0.25">
      <c r="A71" s="50"/>
      <c r="B71" s="5" t="s">
        <v>757</v>
      </c>
      <c r="C71" s="5"/>
      <c r="D71" s="5"/>
      <c r="E71" s="5"/>
      <c r="F71" s="5"/>
    </row>
    <row r="72" spans="1:12" x14ac:dyDescent="0.25">
      <c r="A72" s="51" t="s">
        <v>758</v>
      </c>
      <c r="B72" s="15" t="s">
        <v>559</v>
      </c>
      <c r="C72" s="29" t="s">
        <v>759</v>
      </c>
      <c r="D72" s="41">
        <f>Finition!$G$50</f>
        <v>71</v>
      </c>
      <c r="E72" s="49">
        <f>PU_CARREAUX</f>
        <v>6500</v>
      </c>
      <c r="F72" s="52">
        <f t="shared" ref="F72:F78" si="3">D72*E72</f>
        <v>461500</v>
      </c>
    </row>
    <row r="73" spans="1:12" x14ac:dyDescent="0.25">
      <c r="A73" s="51" t="s">
        <v>760</v>
      </c>
      <c r="B73" s="15" t="s">
        <v>560</v>
      </c>
      <c r="C73" s="29" t="s">
        <v>759</v>
      </c>
      <c r="D73" s="41">
        <f>Finition!$G$51</f>
        <v>28</v>
      </c>
      <c r="E73" s="49">
        <f>PU_FAIENCE</f>
        <v>6000</v>
      </c>
      <c r="F73" s="52">
        <f t="shared" si="3"/>
        <v>168000</v>
      </c>
    </row>
    <row r="74" spans="1:12" x14ac:dyDescent="0.25">
      <c r="A74" s="51" t="s">
        <v>761</v>
      </c>
      <c r="B74" s="15" t="s">
        <v>762</v>
      </c>
      <c r="C74" s="29" t="s">
        <v>685</v>
      </c>
      <c r="D74" s="41">
        <f>Finition!$G$45</f>
        <v>39</v>
      </c>
      <c r="E74" s="49">
        <f>PU_CIMENT</f>
        <v>5500</v>
      </c>
      <c r="F74" s="52">
        <f t="shared" si="3"/>
        <v>214500</v>
      </c>
    </row>
    <row r="75" spans="1:12" x14ac:dyDescent="0.25">
      <c r="A75" s="51" t="s">
        <v>763</v>
      </c>
      <c r="B75" s="15" t="s">
        <v>233</v>
      </c>
      <c r="C75" s="29" t="s">
        <v>69</v>
      </c>
      <c r="D75" s="39">
        <f>Finition!$G$48</f>
        <v>752.4</v>
      </c>
      <c r="E75" s="49">
        <f>PU_CIMENTCOLLE</f>
        <v>650</v>
      </c>
      <c r="F75" s="52">
        <f t="shared" si="3"/>
        <v>489060</v>
      </c>
    </row>
    <row r="76" spans="1:12" x14ac:dyDescent="0.25">
      <c r="A76" s="51" t="s">
        <v>764</v>
      </c>
      <c r="B76" s="15" t="s">
        <v>199</v>
      </c>
      <c r="C76" s="29" t="s">
        <v>200</v>
      </c>
      <c r="D76" s="39">
        <f>Finition!$G$46</f>
        <v>9.6072500000000005</v>
      </c>
      <c r="E76" s="49">
        <f>PU_SABLE</f>
        <v>15000</v>
      </c>
      <c r="F76" s="52">
        <f t="shared" si="3"/>
        <v>144108.75</v>
      </c>
    </row>
    <row r="77" spans="1:12" x14ac:dyDescent="0.25">
      <c r="A77" s="51" t="s">
        <v>765</v>
      </c>
      <c r="B77" s="15" t="s">
        <v>308</v>
      </c>
      <c r="C77" s="29" t="s">
        <v>204</v>
      </c>
      <c r="D77" s="39">
        <f>(Finition!$G$47)/1000</f>
        <v>0.65</v>
      </c>
      <c r="E77" s="49">
        <f>PU_EAU</f>
        <v>1500</v>
      </c>
      <c r="F77" s="52">
        <f t="shared" si="3"/>
        <v>975</v>
      </c>
    </row>
    <row r="78" spans="1:12" x14ac:dyDescent="0.25">
      <c r="A78" s="51" t="s">
        <v>766</v>
      </c>
      <c r="B78" s="15" t="s">
        <v>651</v>
      </c>
      <c r="C78" s="29" t="s">
        <v>69</v>
      </c>
      <c r="D78" s="39">
        <f>Finition!$G$49</f>
        <v>39.75</v>
      </c>
      <c r="E78" s="49">
        <f>PU_LATEX</f>
        <v>2800</v>
      </c>
      <c r="F78" s="52">
        <f t="shared" si="3"/>
        <v>111300</v>
      </c>
    </row>
    <row r="79" spans="1:12" ht="15" customHeight="1" x14ac:dyDescent="0.25">
      <c r="A79" s="2" t="s">
        <v>767</v>
      </c>
      <c r="B79" s="2"/>
      <c r="C79" s="2"/>
      <c r="D79" s="2"/>
      <c r="E79" s="2"/>
      <c r="F79" s="47">
        <f>SUM(F72:F78)</f>
        <v>1589443.75</v>
      </c>
      <c r="G79" s="34"/>
      <c r="H79" s="34"/>
      <c r="I79" s="34"/>
      <c r="J79" s="34"/>
      <c r="K79" s="34"/>
      <c r="L79" s="34"/>
    </row>
    <row r="81" spans="1:12" ht="15" customHeight="1" x14ac:dyDescent="0.25">
      <c r="A81" s="50"/>
      <c r="B81" s="5" t="s">
        <v>768</v>
      </c>
      <c r="C81" s="5"/>
      <c r="D81" s="5"/>
      <c r="E81" s="5"/>
      <c r="F81" s="5"/>
    </row>
    <row r="82" spans="1:12" x14ac:dyDescent="0.25">
      <c r="A82" s="51" t="s">
        <v>769</v>
      </c>
      <c r="B82" s="15" t="s">
        <v>770</v>
      </c>
      <c r="C82" s="29" t="s">
        <v>204</v>
      </c>
      <c r="D82" s="39">
        <f>Charpente_Couverture!$G$60</f>
        <v>1.3011137521291678</v>
      </c>
      <c r="E82" s="49">
        <f>Sous_Detail_Prix!$C$8</f>
        <v>66666.666666666672</v>
      </c>
      <c r="F82" s="52">
        <f>D82*E82</f>
        <v>86740.916808611189</v>
      </c>
    </row>
    <row r="83" spans="1:12" x14ac:dyDescent="0.25">
      <c r="A83" s="51" t="s">
        <v>771</v>
      </c>
      <c r="B83" s="15" t="s">
        <v>661</v>
      </c>
      <c r="C83" s="29" t="s">
        <v>69</v>
      </c>
      <c r="D83" s="39">
        <f>Charpente_Couverture!$G$61</f>
        <v>26.022275042583356</v>
      </c>
      <c r="E83" s="49">
        <f>PU_CLOUS</f>
        <v>1000</v>
      </c>
      <c r="F83" s="52">
        <f>D83*E83</f>
        <v>26022.275042583355</v>
      </c>
    </row>
    <row r="84" spans="1:12" x14ac:dyDescent="0.25">
      <c r="A84" s="51" t="s">
        <v>772</v>
      </c>
      <c r="B84" s="15" t="s">
        <v>230</v>
      </c>
      <c r="C84" s="29" t="s">
        <v>231</v>
      </c>
      <c r="D84" s="39">
        <f>Charpente_Couverture!$G$60*11.2</f>
        <v>14.572474023846679</v>
      </c>
      <c r="E84" s="49">
        <f>PU_PEINTURE_BOIS</f>
        <v>3500</v>
      </c>
      <c r="F84" s="52">
        <f>D84*E84</f>
        <v>51003.659083463375</v>
      </c>
    </row>
    <row r="85" spans="1:12" ht="15" customHeight="1" x14ac:dyDescent="0.25">
      <c r="A85" s="2" t="s">
        <v>773</v>
      </c>
      <c r="B85" s="2"/>
      <c r="C85" s="2"/>
      <c r="D85" s="2"/>
      <c r="E85" s="2"/>
      <c r="F85" s="47">
        <f>SUM(F82:F84)</f>
        <v>163766.85093465791</v>
      </c>
      <c r="G85" s="34"/>
      <c r="H85" s="34"/>
      <c r="I85" s="34"/>
      <c r="J85" s="34"/>
      <c r="K85" s="34"/>
      <c r="L85" s="34"/>
    </row>
    <row r="87" spans="1:12" ht="15" customHeight="1" x14ac:dyDescent="0.25">
      <c r="A87" s="50"/>
      <c r="B87" s="5" t="s">
        <v>774</v>
      </c>
      <c r="C87" s="5"/>
      <c r="D87" s="5"/>
      <c r="E87" s="5"/>
      <c r="F87" s="5"/>
    </row>
    <row r="88" spans="1:12" x14ac:dyDescent="0.25">
      <c r="A88" s="51" t="s">
        <v>775</v>
      </c>
      <c r="B88" s="15" t="s">
        <v>776</v>
      </c>
      <c r="C88" s="29" t="s">
        <v>223</v>
      </c>
      <c r="D88" s="41">
        <f>Charpente_Couverture!$G$63</f>
        <v>76</v>
      </c>
      <c r="E88" s="49">
        <f>PU_TOLE</f>
        <v>7500</v>
      </c>
      <c r="F88" s="52">
        <f>D88*E88</f>
        <v>570000</v>
      </c>
    </row>
    <row r="89" spans="1:12" x14ac:dyDescent="0.25">
      <c r="A89" s="51" t="s">
        <v>777</v>
      </c>
      <c r="B89" s="15" t="s">
        <v>606</v>
      </c>
      <c r="C89" s="29" t="s">
        <v>223</v>
      </c>
      <c r="D89" s="41">
        <f>Charpente_Couverture!$G$64</f>
        <v>5</v>
      </c>
      <c r="E89" s="49">
        <f>PU_TOLE_FAIT</f>
        <v>8500</v>
      </c>
      <c r="F89" s="52">
        <f>D89*E89</f>
        <v>42500</v>
      </c>
    </row>
    <row r="90" spans="1:12" x14ac:dyDescent="0.25">
      <c r="A90" s="51" t="s">
        <v>778</v>
      </c>
      <c r="B90" s="15" t="s">
        <v>340</v>
      </c>
      <c r="C90" s="29" t="s">
        <v>69</v>
      </c>
      <c r="D90" s="39">
        <f>Charpente_Couverture!$G$65</f>
        <v>17.359500000000004</v>
      </c>
      <c r="E90" s="49">
        <f>PU_CLOUS</f>
        <v>1000</v>
      </c>
      <c r="F90" s="52">
        <f>D90*E90</f>
        <v>17359.500000000004</v>
      </c>
    </row>
    <row r="91" spans="1:12" ht="15" customHeight="1" x14ac:dyDescent="0.25">
      <c r="A91" s="2" t="s">
        <v>779</v>
      </c>
      <c r="B91" s="2"/>
      <c r="C91" s="2"/>
      <c r="D91" s="2"/>
      <c r="E91" s="2"/>
      <c r="F91" s="47">
        <f>SUM(F88:F90)</f>
        <v>629859.5</v>
      </c>
      <c r="G91" s="34"/>
      <c r="H91" s="34"/>
      <c r="I91" s="34"/>
      <c r="J91" s="34"/>
      <c r="K91" s="34"/>
      <c r="L91" s="34"/>
    </row>
    <row r="93" spans="1:12" ht="15" customHeight="1" x14ac:dyDescent="0.25">
      <c r="A93" s="50"/>
      <c r="B93" s="5" t="s">
        <v>780</v>
      </c>
      <c r="C93" s="5"/>
      <c r="D93" s="5"/>
      <c r="E93" s="5"/>
      <c r="F93" s="5"/>
    </row>
    <row r="94" spans="1:12" x14ac:dyDescent="0.25">
      <c r="A94" s="51" t="s">
        <v>781</v>
      </c>
      <c r="B94" s="15" t="s">
        <v>782</v>
      </c>
      <c r="C94" s="29" t="s">
        <v>685</v>
      </c>
      <c r="D94" s="41">
        <f>Charpente_Couverture!$G$70</f>
        <v>6</v>
      </c>
      <c r="E94" s="49">
        <f>PU_CIMENT</f>
        <v>5500</v>
      </c>
      <c r="F94" s="52">
        <f t="shared" ref="F94:F100" si="4">D94*E94</f>
        <v>33000</v>
      </c>
    </row>
    <row r="95" spans="1:12" x14ac:dyDescent="0.25">
      <c r="A95" s="51" t="s">
        <v>783</v>
      </c>
      <c r="B95" s="15" t="s">
        <v>784</v>
      </c>
      <c r="C95" s="29" t="s">
        <v>200</v>
      </c>
      <c r="D95" s="39">
        <f>Charpente_Couverture!$G$71</f>
        <v>0.9676800000000001</v>
      </c>
      <c r="E95" s="49">
        <f>PU_GRAVIER</f>
        <v>25000</v>
      </c>
      <c r="F95" s="52">
        <f t="shared" si="4"/>
        <v>24192.000000000004</v>
      </c>
    </row>
    <row r="96" spans="1:12" x14ac:dyDescent="0.25">
      <c r="A96" s="51" t="s">
        <v>785</v>
      </c>
      <c r="B96" s="15" t="s">
        <v>786</v>
      </c>
      <c r="C96" s="29" t="s">
        <v>200</v>
      </c>
      <c r="D96" s="39">
        <f>Charpente_Couverture!$G$72</f>
        <v>0.4536</v>
      </c>
      <c r="E96" s="49">
        <f>PU_SABLE</f>
        <v>15000</v>
      </c>
      <c r="F96" s="52">
        <f t="shared" si="4"/>
        <v>6804</v>
      </c>
    </row>
    <row r="97" spans="1:12" x14ac:dyDescent="0.25">
      <c r="A97" s="51" t="s">
        <v>787</v>
      </c>
      <c r="B97" s="15" t="s">
        <v>788</v>
      </c>
      <c r="C97" s="29" t="s">
        <v>204</v>
      </c>
      <c r="D97" s="39">
        <f>(Charpente_Couverture!$G$73)/1000</f>
        <v>0.1323</v>
      </c>
      <c r="E97" s="49">
        <f>PU_EAU</f>
        <v>1500</v>
      </c>
      <c r="F97" s="52">
        <f t="shared" si="4"/>
        <v>198.45</v>
      </c>
    </row>
    <row r="98" spans="1:12" x14ac:dyDescent="0.25">
      <c r="A98" s="51" t="s">
        <v>789</v>
      </c>
      <c r="B98" s="15" t="s">
        <v>790</v>
      </c>
      <c r="C98" s="29" t="s">
        <v>269</v>
      </c>
      <c r="D98" s="39">
        <f>Charpente_Couverture!$G$67</f>
        <v>20.16</v>
      </c>
      <c r="E98" s="49">
        <f>Sous_Detail_Prix!$E$69</f>
        <v>6624.8428131129176</v>
      </c>
      <c r="F98" s="52">
        <f t="shared" si="4"/>
        <v>133556.83111235642</v>
      </c>
    </row>
    <row r="99" spans="1:12" x14ac:dyDescent="0.25">
      <c r="A99" s="51" t="s">
        <v>791</v>
      </c>
      <c r="B99" s="15" t="s">
        <v>792</v>
      </c>
      <c r="C99" s="29" t="s">
        <v>269</v>
      </c>
      <c r="D99" s="39">
        <f>Charpente_Couverture!$G$68</f>
        <v>40.32</v>
      </c>
      <c r="E99" s="49">
        <f>Sous_Detail_Prix!$E$78</f>
        <v>1805.6</v>
      </c>
      <c r="F99" s="52">
        <f t="shared" si="4"/>
        <v>72801.792000000001</v>
      </c>
    </row>
    <row r="100" spans="1:12" x14ac:dyDescent="0.25">
      <c r="A100" s="51" t="s">
        <v>793</v>
      </c>
      <c r="B100" s="15" t="s">
        <v>610</v>
      </c>
      <c r="C100" s="29" t="s">
        <v>269</v>
      </c>
      <c r="D100" s="39">
        <f>Charpente_Couverture!$G$69</f>
        <v>68.997500000000002</v>
      </c>
      <c r="E100" s="49">
        <f>PU_FORME_PENTE</f>
        <v>3025</v>
      </c>
      <c r="F100" s="52">
        <f t="shared" si="4"/>
        <v>208717.4375</v>
      </c>
    </row>
    <row r="101" spans="1:12" ht="15" customHeight="1" x14ac:dyDescent="0.25">
      <c r="A101" s="2" t="s">
        <v>794</v>
      </c>
      <c r="B101" s="2"/>
      <c r="C101" s="2"/>
      <c r="D101" s="2"/>
      <c r="E101" s="2"/>
      <c r="F101" s="47">
        <f>SUM(F94:F100)</f>
        <v>479270.51061235642</v>
      </c>
      <c r="G101" s="34"/>
      <c r="H101" s="34"/>
      <c r="I101" s="34"/>
      <c r="J101" s="34"/>
      <c r="K101" s="34"/>
      <c r="L101" s="34"/>
    </row>
    <row r="103" spans="1:12" ht="15" customHeight="1" x14ac:dyDescent="0.25">
      <c r="A103" s="2" t="s">
        <v>795</v>
      </c>
      <c r="B103" s="2"/>
      <c r="C103" s="2"/>
      <c r="D103" s="2"/>
      <c r="E103" s="2"/>
      <c r="F103" s="47">
        <f>F14+F32+F55+F69+F79+F85+F91+F101</f>
        <v>10255545.086103832</v>
      </c>
      <c r="G103" s="34"/>
      <c r="H103" s="34"/>
      <c r="I103" s="34"/>
      <c r="J103" s="34"/>
      <c r="K103" s="34"/>
      <c r="L103" s="34"/>
    </row>
    <row r="105" spans="1:12" x14ac:dyDescent="0.25">
      <c r="B105" s="15" t="s">
        <v>250</v>
      </c>
      <c r="D105" s="48">
        <f>PU_IMPREVUS</f>
        <v>0.05</v>
      </c>
      <c r="F105" s="46">
        <f>F103*D105</f>
        <v>512777.25430519163</v>
      </c>
    </row>
    <row r="106" spans="1:12" x14ac:dyDescent="0.25">
      <c r="B106" s="15" t="s">
        <v>252</v>
      </c>
      <c r="D106" s="48">
        <f>PU_TRANSPORT</f>
        <v>0.05</v>
      </c>
      <c r="F106" s="46">
        <f>F103*D106</f>
        <v>512777.25430519163</v>
      </c>
    </row>
    <row r="107" spans="1:12" x14ac:dyDescent="0.25">
      <c r="B107" s="15" t="s">
        <v>628</v>
      </c>
      <c r="D107" s="48">
        <f>PU_MO_POURCENT</f>
        <v>0.28000000000000003</v>
      </c>
      <c r="F107" s="46">
        <f>F103*D107</f>
        <v>2871552.6241090735</v>
      </c>
    </row>
    <row r="109" spans="1:12" ht="15" customHeight="1" x14ac:dyDescent="0.25">
      <c r="A109" s="2" t="s">
        <v>796</v>
      </c>
      <c r="B109" s="2"/>
      <c r="C109" s="2"/>
      <c r="D109" s="2"/>
      <c r="E109" s="2"/>
      <c r="F109" s="47">
        <f>F103+F105+F106+F107</f>
        <v>14152652.218823288</v>
      </c>
      <c r="G109" s="34"/>
      <c r="H109" s="34"/>
      <c r="I109" s="34"/>
      <c r="J109" s="34"/>
      <c r="K109" s="34"/>
      <c r="L109" s="34"/>
    </row>
    <row r="111" spans="1:12" x14ac:dyDescent="0.25">
      <c r="B111" s="15" t="s">
        <v>253</v>
      </c>
      <c r="D111" s="48">
        <f>PU_HONO_ARCHI</f>
        <v>0.08</v>
      </c>
      <c r="F111" s="46">
        <f>F109*D111</f>
        <v>1132212.1775058631</v>
      </c>
    </row>
    <row r="112" spans="1:12" x14ac:dyDescent="0.25">
      <c r="B112" s="15" t="s">
        <v>797</v>
      </c>
      <c r="D112" s="48">
        <f>PU_HONO_ING</f>
        <v>0.08</v>
      </c>
      <c r="F112" s="46">
        <f>F109*D112</f>
        <v>1132212.1775058631</v>
      </c>
    </row>
    <row r="114" spans="1:12" ht="15" customHeight="1" x14ac:dyDescent="0.25">
      <c r="A114" s="2" t="s">
        <v>798</v>
      </c>
      <c r="B114" s="2"/>
      <c r="C114" s="2"/>
      <c r="D114" s="2"/>
      <c r="E114" s="2"/>
      <c r="F114" s="53">
        <f>F109+F111+F112</f>
        <v>16417076.573835015</v>
      </c>
      <c r="G114" s="34"/>
      <c r="H114" s="34"/>
      <c r="I114" s="34"/>
      <c r="J114" s="34"/>
      <c r="K114" s="34"/>
      <c r="L114" s="34"/>
    </row>
    <row r="116" spans="1:12" ht="15" customHeight="1" x14ac:dyDescent="0.25">
      <c r="A116" s="3" t="s">
        <v>799</v>
      </c>
      <c r="B116" s="3"/>
      <c r="C116" s="3"/>
      <c r="D116" s="3"/>
      <c r="E116" s="3"/>
      <c r="F116" s="3"/>
    </row>
  </sheetData>
  <mergeCells count="23">
    <mergeCell ref="A109:E109"/>
    <mergeCell ref="A114:E114"/>
    <mergeCell ref="A116:F116"/>
    <mergeCell ref="B87:F87"/>
    <mergeCell ref="A91:E91"/>
    <mergeCell ref="B93:F93"/>
    <mergeCell ref="A101:E101"/>
    <mergeCell ref="A103:E103"/>
    <mergeCell ref="A69:E69"/>
    <mergeCell ref="B71:F71"/>
    <mergeCell ref="A79:E79"/>
    <mergeCell ref="B81:F81"/>
    <mergeCell ref="A85:E85"/>
    <mergeCell ref="B16:F16"/>
    <mergeCell ref="A32:E32"/>
    <mergeCell ref="B34:F34"/>
    <mergeCell ref="A55:E55"/>
    <mergeCell ref="B57:F57"/>
    <mergeCell ref="A2:F2"/>
    <mergeCell ref="A3:F3"/>
    <mergeCell ref="A5:F5"/>
    <mergeCell ref="B8:F8"/>
    <mergeCell ref="A14:E14"/>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00000"/>
  </sheetPr>
  <dimension ref="A2:L90"/>
  <sheetViews>
    <sheetView showGridLines="0" tabSelected="1" zoomScaleNormal="100" workbookViewId="0">
      <pane xSplit="1" ySplit="7" topLeftCell="B8" activePane="bottomRight" state="frozen"/>
      <selection pane="topRight" activeCell="B1" sqref="B1"/>
      <selection pane="bottomLeft" activeCell="A8" sqref="A8"/>
      <selection pane="bottomRight"/>
    </sheetView>
  </sheetViews>
  <sheetFormatPr baseColWidth="10" defaultColWidth="8.7109375" defaultRowHeight="15" x14ac:dyDescent="0.25"/>
  <cols>
    <col min="1" max="1" width="6" customWidth="1"/>
    <col min="2" max="2" width="42" customWidth="1"/>
    <col min="3" max="3" width="9" customWidth="1"/>
    <col min="4" max="4" width="11" customWidth="1"/>
    <col min="5" max="5" width="13" customWidth="1"/>
    <col min="6" max="6" width="15" customWidth="1"/>
  </cols>
  <sheetData>
    <row r="2" spans="1:12" ht="31.5" customHeight="1" x14ac:dyDescent="0.25">
      <c r="A2" s="7" t="s">
        <v>800</v>
      </c>
      <c r="B2" s="7"/>
      <c r="C2" s="7"/>
      <c r="D2" s="7"/>
      <c r="E2" s="7"/>
      <c r="F2" s="7"/>
    </row>
    <row r="3" spans="1:12" ht="15" customHeight="1" x14ac:dyDescent="0.25">
      <c r="A3" s="6" t="s">
        <v>801</v>
      </c>
      <c r="B3" s="6"/>
      <c r="C3" s="6"/>
      <c r="D3" s="6"/>
      <c r="E3" s="6"/>
      <c r="F3" s="6"/>
    </row>
    <row r="5" spans="1:12" ht="20.85" customHeight="1" x14ac:dyDescent="0.25">
      <c r="A5" s="3" t="s">
        <v>802</v>
      </c>
      <c r="B5" s="3"/>
      <c r="C5" s="3"/>
      <c r="D5" s="3"/>
      <c r="E5" s="3"/>
      <c r="F5" s="3"/>
    </row>
    <row r="7" spans="1:12" x14ac:dyDescent="0.25">
      <c r="B7" s="8" t="s">
        <v>281</v>
      </c>
      <c r="C7" s="8" t="s">
        <v>67</v>
      </c>
      <c r="D7" s="8" t="s">
        <v>305</v>
      </c>
      <c r="E7" s="8" t="s">
        <v>196</v>
      </c>
      <c r="F7" s="8" t="s">
        <v>803</v>
      </c>
    </row>
    <row r="8" spans="1:12" ht="15" customHeight="1" x14ac:dyDescent="0.25">
      <c r="A8" s="50"/>
      <c r="B8" s="5" t="s">
        <v>804</v>
      </c>
      <c r="C8" s="5"/>
      <c r="D8" s="5"/>
      <c r="E8" s="5"/>
      <c r="F8" s="5"/>
    </row>
    <row r="9" spans="1:12" x14ac:dyDescent="0.25">
      <c r="A9" s="51" t="s">
        <v>674</v>
      </c>
      <c r="B9" s="15" t="s">
        <v>805</v>
      </c>
      <c r="C9" s="29" t="s">
        <v>806</v>
      </c>
      <c r="D9" s="41">
        <f>1</f>
        <v>1</v>
      </c>
      <c r="E9" s="49">
        <f>PU_AMENEE_REPLI</f>
        <v>200000</v>
      </c>
      <c r="F9" s="52">
        <f>D9*E9</f>
        <v>200000</v>
      </c>
    </row>
    <row r="10" spans="1:12" x14ac:dyDescent="0.25">
      <c r="A10" s="51" t="s">
        <v>677</v>
      </c>
      <c r="B10" s="15" t="s">
        <v>807</v>
      </c>
      <c r="C10" s="29" t="s">
        <v>204</v>
      </c>
      <c r="D10" s="54">
        <f>Fondation!$G$162</f>
        <v>4.5630000000000006</v>
      </c>
      <c r="E10" s="49">
        <f>PU_FOUILLE_PUITS</f>
        <v>1886</v>
      </c>
      <c r="F10" s="52">
        <f>D10*E10</f>
        <v>8605.8180000000011</v>
      </c>
    </row>
    <row r="11" spans="1:12" x14ac:dyDescent="0.25">
      <c r="A11" s="51" t="s">
        <v>678</v>
      </c>
      <c r="B11" s="15" t="s">
        <v>808</v>
      </c>
      <c r="C11" s="29" t="s">
        <v>204</v>
      </c>
      <c r="D11" s="54">
        <f>Fondation!$G$163</f>
        <v>23.7315</v>
      </c>
      <c r="E11" s="49">
        <f>PU_FOUILLE_TRANCHEE</f>
        <v>1162</v>
      </c>
      <c r="F11" s="52">
        <f>D11*E11</f>
        <v>27576.003000000001</v>
      </c>
    </row>
    <row r="12" spans="1:12" x14ac:dyDescent="0.25">
      <c r="A12" s="51" t="s">
        <v>680</v>
      </c>
      <c r="B12" s="15" t="s">
        <v>809</v>
      </c>
      <c r="C12" s="29" t="s">
        <v>204</v>
      </c>
      <c r="D12" s="54">
        <f>Fondation!$G$160</f>
        <v>46.868575000000007</v>
      </c>
      <c r="E12" s="49">
        <f>PU_REMBLAI_FONDATION</f>
        <v>1505</v>
      </c>
      <c r="F12" s="52">
        <f>D12*E12</f>
        <v>70537.205375000005</v>
      </c>
    </row>
    <row r="13" spans="1:12" x14ac:dyDescent="0.25">
      <c r="A13" s="51" t="s">
        <v>681</v>
      </c>
      <c r="B13" s="15" t="s">
        <v>267</v>
      </c>
      <c r="C13" s="29" t="s">
        <v>204</v>
      </c>
      <c r="D13" s="54">
        <f>Fondation!$G$161</f>
        <v>0</v>
      </c>
      <c r="E13" s="49">
        <f>PU_EVACUATION_DEBLAIS</f>
        <v>1500</v>
      </c>
      <c r="F13" s="52">
        <f>D13*E13</f>
        <v>0</v>
      </c>
    </row>
    <row r="14" spans="1:12" ht="15" customHeight="1" x14ac:dyDescent="0.25">
      <c r="A14" s="2" t="s">
        <v>810</v>
      </c>
      <c r="B14" s="2"/>
      <c r="C14" s="2"/>
      <c r="D14" s="2"/>
      <c r="E14" s="2"/>
      <c r="F14" s="47">
        <f>SUM(F9:F13)</f>
        <v>306719.02637500002</v>
      </c>
      <c r="G14" s="34"/>
      <c r="H14" s="34"/>
      <c r="I14" s="34"/>
      <c r="J14" s="34"/>
      <c r="K14" s="34"/>
      <c r="L14" s="34"/>
    </row>
    <row r="16" spans="1:12" ht="15" customHeight="1" x14ac:dyDescent="0.25">
      <c r="A16" s="50"/>
      <c r="B16" s="5" t="s">
        <v>811</v>
      </c>
      <c r="C16" s="5"/>
      <c r="D16" s="5"/>
      <c r="E16" s="5"/>
      <c r="F16" s="5"/>
    </row>
    <row r="17" spans="1:12" x14ac:dyDescent="0.25">
      <c r="A17" s="51" t="s">
        <v>674</v>
      </c>
      <c r="B17" s="15" t="s">
        <v>812</v>
      </c>
      <c r="C17" s="29" t="s">
        <v>204</v>
      </c>
      <c r="D17" s="54">
        <f>Fondation!$G$154</f>
        <v>1.3985000000000003</v>
      </c>
      <c r="E17" s="49">
        <f>Sous_Detail_Prix!$E$20</f>
        <v>73744.000000000015</v>
      </c>
      <c r="F17" s="52">
        <f t="shared" ref="F17:F23" si="0">D17*E17</f>
        <v>103130.98400000004</v>
      </c>
    </row>
    <row r="18" spans="1:12" x14ac:dyDescent="0.25">
      <c r="A18" s="51" t="s">
        <v>677</v>
      </c>
      <c r="B18" s="15" t="s">
        <v>813</v>
      </c>
      <c r="C18" s="29" t="s">
        <v>204</v>
      </c>
      <c r="D18" s="54">
        <f>Fondation!$G$155</f>
        <v>0.58949999999999991</v>
      </c>
      <c r="E18" s="49">
        <f>Sous_Detail_Prix!$E$46</f>
        <v>273288.22042139387</v>
      </c>
      <c r="F18" s="52">
        <f t="shared" si="0"/>
        <v>161103.40593841166</v>
      </c>
    </row>
    <row r="19" spans="1:12" x14ac:dyDescent="0.25">
      <c r="A19" s="51" t="s">
        <v>678</v>
      </c>
      <c r="B19" s="15" t="s">
        <v>814</v>
      </c>
      <c r="C19" s="29" t="s">
        <v>204</v>
      </c>
      <c r="D19" s="54">
        <f>Fondation!$G$164</f>
        <v>3.5700000000000003</v>
      </c>
      <c r="E19" s="49">
        <f>Sous_Detail_Prix!$E$46</f>
        <v>273288.22042139387</v>
      </c>
      <c r="F19" s="52">
        <f t="shared" si="0"/>
        <v>975638.94690437615</v>
      </c>
    </row>
    <row r="20" spans="1:12" x14ac:dyDescent="0.25">
      <c r="A20" s="51" t="s">
        <v>680</v>
      </c>
      <c r="B20" s="15" t="s">
        <v>815</v>
      </c>
      <c r="C20" s="29" t="s">
        <v>204</v>
      </c>
      <c r="D20" s="54">
        <f>Fondation!$G$156</f>
        <v>10.952999999999999</v>
      </c>
      <c r="E20" s="49">
        <f>Sous_Detail_Prix!$E$57</f>
        <v>43571.199999999997</v>
      </c>
      <c r="F20" s="52">
        <f t="shared" si="0"/>
        <v>477235.35359999991</v>
      </c>
    </row>
    <row r="21" spans="1:12" x14ac:dyDescent="0.25">
      <c r="A21" s="51" t="s">
        <v>681</v>
      </c>
      <c r="B21" s="15" t="s">
        <v>816</v>
      </c>
      <c r="C21" s="29" t="s">
        <v>204</v>
      </c>
      <c r="D21" s="54">
        <f>Fondation!$G$157</f>
        <v>1.2170000000000003</v>
      </c>
      <c r="E21" s="49">
        <f>Sous_Detail_Prix!$E$32</f>
        <v>87920.000000000029</v>
      </c>
      <c r="F21" s="52">
        <f t="shared" si="0"/>
        <v>106998.64000000006</v>
      </c>
    </row>
    <row r="22" spans="1:12" x14ac:dyDescent="0.25">
      <c r="A22" s="51" t="s">
        <v>684</v>
      </c>
      <c r="B22" s="15" t="s">
        <v>817</v>
      </c>
      <c r="C22" s="29" t="s">
        <v>204</v>
      </c>
      <c r="D22" s="54">
        <f>Fondation!$G$158</f>
        <v>6.8997500000000009</v>
      </c>
      <c r="E22" s="49">
        <f>Sous_Detail_Prix!$E$32</f>
        <v>87920.000000000029</v>
      </c>
      <c r="F22" s="52">
        <f t="shared" si="0"/>
        <v>606626.02000000025</v>
      </c>
    </row>
    <row r="23" spans="1:12" x14ac:dyDescent="0.25">
      <c r="A23" s="51" t="s">
        <v>686</v>
      </c>
      <c r="B23" s="15" t="s">
        <v>268</v>
      </c>
      <c r="C23" s="29" t="s">
        <v>269</v>
      </c>
      <c r="D23" s="54">
        <f>Fondation!$G$165</f>
        <v>36.51</v>
      </c>
      <c r="E23" s="49">
        <f>PU_MUR_SOUBASSEMENT</f>
        <v>6045</v>
      </c>
      <c r="F23" s="52">
        <f t="shared" si="0"/>
        <v>220702.94999999998</v>
      </c>
    </row>
    <row r="24" spans="1:12" ht="15" customHeight="1" x14ac:dyDescent="0.25">
      <c r="A24" s="2" t="s">
        <v>818</v>
      </c>
      <c r="B24" s="2"/>
      <c r="C24" s="2"/>
      <c r="D24" s="2"/>
      <c r="E24" s="2"/>
      <c r="F24" s="47">
        <f>SUM(F17:F23)</f>
        <v>2651436.3004427887</v>
      </c>
      <c r="G24" s="34"/>
      <c r="H24" s="34"/>
      <c r="I24" s="34"/>
      <c r="J24" s="34"/>
      <c r="K24" s="34"/>
      <c r="L24" s="34"/>
    </row>
    <row r="26" spans="1:12" ht="15" customHeight="1" x14ac:dyDescent="0.25">
      <c r="A26" s="50"/>
      <c r="B26" s="5" t="s">
        <v>819</v>
      </c>
      <c r="C26" s="5"/>
      <c r="D26" s="5"/>
      <c r="E26" s="5"/>
      <c r="F26" s="5"/>
    </row>
    <row r="27" spans="1:12" x14ac:dyDescent="0.25">
      <c r="A27" s="51" t="s">
        <v>674</v>
      </c>
      <c r="B27" s="15" t="s">
        <v>820</v>
      </c>
      <c r="C27" s="29" t="s">
        <v>204</v>
      </c>
      <c r="D27" s="54">
        <f>Elevation!$G$193</f>
        <v>1.4400000000000004</v>
      </c>
      <c r="E27" s="49">
        <f>Sous_Detail_Prix!$E$46</f>
        <v>273288.22042139387</v>
      </c>
      <c r="F27" s="52">
        <f t="shared" ref="F27:F35" si="1">D27*E27</f>
        <v>393535.0374068073</v>
      </c>
    </row>
    <row r="28" spans="1:12" x14ac:dyDescent="0.25">
      <c r="A28" s="51" t="s">
        <v>677</v>
      </c>
      <c r="B28" s="15" t="s">
        <v>821</v>
      </c>
      <c r="C28" s="29" t="s">
        <v>204</v>
      </c>
      <c r="D28" s="54">
        <f>Elevation!$G$195</f>
        <v>1.008</v>
      </c>
      <c r="E28" s="49">
        <f>Sous_Detail_Prix!$E$46</f>
        <v>273288.22042139387</v>
      </c>
      <c r="F28" s="52">
        <f t="shared" si="1"/>
        <v>275474.52618476504</v>
      </c>
    </row>
    <row r="29" spans="1:12" x14ac:dyDescent="0.25">
      <c r="A29" s="51" t="s">
        <v>678</v>
      </c>
      <c r="B29" s="15" t="s">
        <v>822</v>
      </c>
      <c r="C29" s="29" t="s">
        <v>204</v>
      </c>
      <c r="D29" s="54">
        <f>Elevation!$G$197</f>
        <v>0.28349999999999997</v>
      </c>
      <c r="E29" s="49">
        <f>Sous_Detail_Prix!$E$46</f>
        <v>273288.22042139387</v>
      </c>
      <c r="F29" s="52">
        <f t="shared" si="1"/>
        <v>77477.210489465157</v>
      </c>
    </row>
    <row r="30" spans="1:12" x14ac:dyDescent="0.25">
      <c r="A30" s="51" t="s">
        <v>680</v>
      </c>
      <c r="B30" s="15" t="s">
        <v>823</v>
      </c>
      <c r="C30" s="29" t="s">
        <v>204</v>
      </c>
      <c r="D30" s="54">
        <f>Dalle!$H$12</f>
        <v>6.8997500000000009</v>
      </c>
      <c r="E30" s="49">
        <f>Sous_Detail_Prix!$E$46</f>
        <v>273288.22042139387</v>
      </c>
      <c r="F30" s="52">
        <f t="shared" si="1"/>
        <v>1885620.3988525127</v>
      </c>
    </row>
    <row r="31" spans="1:12" x14ac:dyDescent="0.25">
      <c r="A31" s="51" t="s">
        <v>681</v>
      </c>
      <c r="B31" s="15" t="s">
        <v>824</v>
      </c>
      <c r="C31" s="29" t="s">
        <v>269</v>
      </c>
      <c r="D31" s="54">
        <f>Dalle!$G$31</f>
        <v>0</v>
      </c>
      <c r="E31" s="49">
        <f>PU_HOURDIS_12_4</f>
        <v>9500</v>
      </c>
      <c r="F31" s="52">
        <f t="shared" si="1"/>
        <v>0</v>
      </c>
    </row>
    <row r="32" spans="1:12" x14ac:dyDescent="0.25">
      <c r="A32" s="51" t="s">
        <v>684</v>
      </c>
      <c r="B32" s="15" t="s">
        <v>825</v>
      </c>
      <c r="C32" s="29" t="s">
        <v>269</v>
      </c>
      <c r="D32" s="54">
        <f>Elevation!$G$200</f>
        <v>79.290000000000006</v>
      </c>
      <c r="E32" s="49">
        <f>Sous_Detail_Prix!$E$69</f>
        <v>6624.8428131129176</v>
      </c>
      <c r="F32" s="52">
        <f t="shared" si="1"/>
        <v>525283.78665172332</v>
      </c>
    </row>
    <row r="33" spans="1:12" x14ac:dyDescent="0.25">
      <c r="A33" s="51" t="s">
        <v>686</v>
      </c>
      <c r="B33" s="15" t="s">
        <v>826</v>
      </c>
      <c r="C33" s="29" t="s">
        <v>269</v>
      </c>
      <c r="D33" s="54">
        <f>Elevation!$G$200*2</f>
        <v>158.58000000000001</v>
      </c>
      <c r="E33" s="49">
        <f>Sous_Detail_Prix!$E$78</f>
        <v>1805.6</v>
      </c>
      <c r="F33" s="52">
        <f t="shared" si="1"/>
        <v>286332.04800000001</v>
      </c>
    </row>
    <row r="34" spans="1:12" x14ac:dyDescent="0.25">
      <c r="A34" s="51" t="s">
        <v>687</v>
      </c>
      <c r="B34" s="15" t="s">
        <v>272</v>
      </c>
      <c r="C34" s="29" t="s">
        <v>273</v>
      </c>
      <c r="D34" s="54">
        <f>21.5</f>
        <v>21.5</v>
      </c>
      <c r="E34" s="49">
        <f>PU_SCELLEMENT_HUISSERIE</f>
        <v>500</v>
      </c>
      <c r="F34" s="52">
        <f t="shared" si="1"/>
        <v>10750</v>
      </c>
    </row>
    <row r="35" spans="1:12" x14ac:dyDescent="0.25">
      <c r="A35" s="51" t="s">
        <v>688</v>
      </c>
      <c r="B35" s="15" t="s">
        <v>274</v>
      </c>
      <c r="C35" s="29" t="s">
        <v>273</v>
      </c>
      <c r="D35" s="54">
        <f>21.5</f>
        <v>21.5</v>
      </c>
      <c r="E35" s="49">
        <f>PU_DRESSEMENT_TABLEAUX</f>
        <v>500</v>
      </c>
      <c r="F35" s="52">
        <f t="shared" si="1"/>
        <v>10750</v>
      </c>
    </row>
    <row r="36" spans="1:12" ht="15" customHeight="1" x14ac:dyDescent="0.25">
      <c r="A36" s="2" t="s">
        <v>827</v>
      </c>
      <c r="B36" s="2"/>
      <c r="C36" s="2"/>
      <c r="D36" s="2"/>
      <c r="E36" s="2"/>
      <c r="F36" s="47">
        <f>SUM(F27:F35)</f>
        <v>3465223.0075852736</v>
      </c>
      <c r="G36" s="34"/>
      <c r="H36" s="34"/>
      <c r="I36" s="34"/>
      <c r="J36" s="34"/>
      <c r="K36" s="34"/>
      <c r="L36" s="34"/>
    </row>
    <row r="38" spans="1:12" ht="15" customHeight="1" x14ac:dyDescent="0.25">
      <c r="A38" s="50"/>
      <c r="B38" s="5" t="s">
        <v>828</v>
      </c>
      <c r="C38" s="5"/>
      <c r="D38" s="5"/>
      <c r="E38" s="5"/>
      <c r="F38" s="5"/>
    </row>
    <row r="39" spans="1:12" x14ac:dyDescent="0.25">
      <c r="A39" s="51" t="s">
        <v>674</v>
      </c>
      <c r="B39" s="15" t="s">
        <v>820</v>
      </c>
      <c r="C39" s="29" t="s">
        <v>204</v>
      </c>
      <c r="D39" s="54">
        <f>Elevation!$G$194</f>
        <v>1.3440000000000003</v>
      </c>
      <c r="E39" s="49">
        <f>Sous_Detail_Prix!$E$46</f>
        <v>273288.22042139387</v>
      </c>
      <c r="F39" s="52">
        <f t="shared" ref="F39:F48" si="2">D39*E39</f>
        <v>367299.36824635346</v>
      </c>
    </row>
    <row r="40" spans="1:12" x14ac:dyDescent="0.25">
      <c r="A40" s="51" t="s">
        <v>677</v>
      </c>
      <c r="B40" s="15" t="s">
        <v>821</v>
      </c>
      <c r="C40" s="29" t="s">
        <v>204</v>
      </c>
      <c r="D40" s="54">
        <f>Elevation!$G$196</f>
        <v>1.008</v>
      </c>
      <c r="E40" s="49">
        <f>Sous_Detail_Prix!$E$46</f>
        <v>273288.22042139387</v>
      </c>
      <c r="F40" s="52">
        <f t="shared" si="2"/>
        <v>275474.52618476504</v>
      </c>
    </row>
    <row r="41" spans="1:12" x14ac:dyDescent="0.25">
      <c r="A41" s="51" t="s">
        <v>678</v>
      </c>
      <c r="B41" s="15" t="s">
        <v>822</v>
      </c>
      <c r="C41" s="29" t="s">
        <v>204</v>
      </c>
      <c r="D41" s="54">
        <f>Elevation!$G$198</f>
        <v>0.28349999999999997</v>
      </c>
      <c r="E41" s="49">
        <f>Sous_Detail_Prix!$E$46</f>
        <v>273288.22042139387</v>
      </c>
      <c r="F41" s="52">
        <f t="shared" si="2"/>
        <v>77477.210489465157</v>
      </c>
    </row>
    <row r="42" spans="1:12" x14ac:dyDescent="0.25">
      <c r="A42" s="51" t="s">
        <v>680</v>
      </c>
      <c r="B42" s="15" t="s">
        <v>829</v>
      </c>
      <c r="C42" s="29" t="s">
        <v>204</v>
      </c>
      <c r="D42" s="54">
        <f>Elevation!$G$199</f>
        <v>3.5</v>
      </c>
      <c r="E42" s="49">
        <f>Sous_Detail_Prix!$E$46</f>
        <v>273288.22042139387</v>
      </c>
      <c r="F42" s="52">
        <f t="shared" si="2"/>
        <v>956508.77147487854</v>
      </c>
    </row>
    <row r="43" spans="1:12" x14ac:dyDescent="0.25">
      <c r="A43" s="51" t="s">
        <v>681</v>
      </c>
      <c r="B43" s="15" t="s">
        <v>830</v>
      </c>
      <c r="C43" s="29" t="s">
        <v>204</v>
      </c>
      <c r="D43" s="54">
        <f>Dalle!$H$39</f>
        <v>0</v>
      </c>
      <c r="E43" s="49">
        <f>Sous_Detail_Prix!$E$46</f>
        <v>273288.22042139387</v>
      </c>
      <c r="F43" s="52">
        <f t="shared" si="2"/>
        <v>0</v>
      </c>
    </row>
    <row r="44" spans="1:12" x14ac:dyDescent="0.25">
      <c r="A44" s="51" t="s">
        <v>684</v>
      </c>
      <c r="B44" s="15" t="s">
        <v>831</v>
      </c>
      <c r="C44" s="29" t="s">
        <v>269</v>
      </c>
      <c r="D44" s="54">
        <f>Dalle!$G$58</f>
        <v>68.997500000000002</v>
      </c>
      <c r="E44" s="49">
        <f>PU_HOURDIS_12_4</f>
        <v>9500</v>
      </c>
      <c r="F44" s="52">
        <f t="shared" si="2"/>
        <v>655476.25</v>
      </c>
    </row>
    <row r="45" spans="1:12" x14ac:dyDescent="0.25">
      <c r="A45" s="51" t="s">
        <v>686</v>
      </c>
      <c r="B45" s="15" t="s">
        <v>825</v>
      </c>
      <c r="C45" s="29" t="s">
        <v>269</v>
      </c>
      <c r="D45" s="54">
        <f>Elevation!$G$201</f>
        <v>64.5</v>
      </c>
      <c r="E45" s="49">
        <f>Sous_Detail_Prix!$E$69</f>
        <v>6624.8428131129176</v>
      </c>
      <c r="F45" s="52">
        <f t="shared" si="2"/>
        <v>427302.36144578317</v>
      </c>
    </row>
    <row r="46" spans="1:12" x14ac:dyDescent="0.25">
      <c r="A46" s="51" t="s">
        <v>687</v>
      </c>
      <c r="B46" s="15" t="s">
        <v>826</v>
      </c>
      <c r="C46" s="29" t="s">
        <v>269</v>
      </c>
      <c r="D46" s="54">
        <f>Elevation!$G$201*2</f>
        <v>129</v>
      </c>
      <c r="E46" s="49">
        <f>Sous_Detail_Prix!$E$78</f>
        <v>1805.6</v>
      </c>
      <c r="F46" s="52">
        <f t="shared" si="2"/>
        <v>232922.4</v>
      </c>
    </row>
    <row r="47" spans="1:12" x14ac:dyDescent="0.25">
      <c r="A47" s="51" t="s">
        <v>688</v>
      </c>
      <c r="B47" s="15" t="s">
        <v>272</v>
      </c>
      <c r="C47" s="29" t="s">
        <v>273</v>
      </c>
      <c r="D47" s="54">
        <f>21.5</f>
        <v>21.5</v>
      </c>
      <c r="E47" s="49">
        <f>PU_SCELLEMENT_HUISSERIE</f>
        <v>500</v>
      </c>
      <c r="F47" s="52">
        <f t="shared" si="2"/>
        <v>10750</v>
      </c>
    </row>
    <row r="48" spans="1:12" x14ac:dyDescent="0.25">
      <c r="A48" s="51" t="s">
        <v>689</v>
      </c>
      <c r="B48" s="15" t="s">
        <v>274</v>
      </c>
      <c r="C48" s="29" t="s">
        <v>273</v>
      </c>
      <c r="D48" s="54">
        <f>21.5</f>
        <v>21.5</v>
      </c>
      <c r="E48" s="49">
        <f>PU_DRESSEMENT_TABLEAUX</f>
        <v>500</v>
      </c>
      <c r="F48" s="52">
        <f t="shared" si="2"/>
        <v>10750</v>
      </c>
    </row>
    <row r="49" spans="1:12" ht="15" customHeight="1" x14ac:dyDescent="0.25">
      <c r="A49" s="2" t="s">
        <v>832</v>
      </c>
      <c r="B49" s="2"/>
      <c r="C49" s="2"/>
      <c r="D49" s="2"/>
      <c r="E49" s="2"/>
      <c r="F49" s="47">
        <f>SUM(F39:F48)</f>
        <v>3013960.8878412452</v>
      </c>
      <c r="G49" s="34"/>
      <c r="H49" s="34"/>
      <c r="I49" s="34"/>
      <c r="J49" s="34"/>
      <c r="K49" s="34"/>
      <c r="L49" s="34"/>
    </row>
    <row r="51" spans="1:12" ht="15" customHeight="1" x14ac:dyDescent="0.25">
      <c r="A51" s="3" t="s">
        <v>833</v>
      </c>
      <c r="B51" s="3"/>
      <c r="C51" s="3"/>
      <c r="D51" s="3"/>
      <c r="E51" s="3"/>
      <c r="F51" s="3"/>
      <c r="G51" s="3"/>
      <c r="H51" s="3"/>
      <c r="I51" s="3"/>
      <c r="J51" s="3"/>
      <c r="K51" s="3"/>
      <c r="L51" s="3"/>
    </row>
    <row r="52" spans="1:12" ht="15" customHeight="1" x14ac:dyDescent="0.25">
      <c r="A52" s="50"/>
      <c r="B52" s="5" t="s">
        <v>834</v>
      </c>
      <c r="C52" s="5"/>
      <c r="D52" s="5"/>
      <c r="E52" s="5"/>
      <c r="F52" s="5"/>
    </row>
    <row r="53" spans="1:12" x14ac:dyDescent="0.25">
      <c r="A53" s="51" t="s">
        <v>674</v>
      </c>
      <c r="B53" s="15" t="s">
        <v>835</v>
      </c>
      <c r="C53" s="29" t="s">
        <v>204</v>
      </c>
      <c r="D53" s="54">
        <f>Charpente_Couverture!$G$60</f>
        <v>1.3011137521291678</v>
      </c>
      <c r="E53" s="49">
        <f>Sous_Detail_Prix!$E$115</f>
        <v>105733.33333333334</v>
      </c>
      <c r="F53" s="52">
        <f t="shared" ref="F53:F58" si="3">D53*E53</f>
        <v>137571.09405845735</v>
      </c>
    </row>
    <row r="54" spans="1:12" x14ac:dyDescent="0.25">
      <c r="A54" s="51" t="s">
        <v>677</v>
      </c>
      <c r="B54" s="15" t="s">
        <v>836</v>
      </c>
      <c r="C54" s="29" t="s">
        <v>269</v>
      </c>
      <c r="D54" s="54">
        <f>Charpente_Couverture!$G$62</f>
        <v>86.797500000000014</v>
      </c>
      <c r="E54" s="49">
        <f>Sous_Detail_Prix!$E$124</f>
        <v>8259.4</v>
      </c>
      <c r="F54" s="52">
        <f t="shared" si="3"/>
        <v>716895.27150000003</v>
      </c>
    </row>
    <row r="55" spans="1:12" x14ac:dyDescent="0.25">
      <c r="A55" s="51" t="s">
        <v>678</v>
      </c>
      <c r="B55" s="15" t="s">
        <v>837</v>
      </c>
      <c r="C55" s="29" t="s">
        <v>204</v>
      </c>
      <c r="D55" s="54">
        <f>Charpente_Couverture!$G$66</f>
        <v>0.75600000000000001</v>
      </c>
      <c r="E55" s="49">
        <f>Sous_Detail_Prix!$E$46</f>
        <v>273288.22042139387</v>
      </c>
      <c r="F55" s="52">
        <f t="shared" si="3"/>
        <v>206605.89463857375</v>
      </c>
    </row>
    <row r="56" spans="1:12" x14ac:dyDescent="0.25">
      <c r="A56" s="51" t="s">
        <v>680</v>
      </c>
      <c r="B56" s="15" t="s">
        <v>838</v>
      </c>
      <c r="C56" s="29" t="s">
        <v>269</v>
      </c>
      <c r="D56" s="54">
        <f>Charpente_Couverture!$G$67</f>
        <v>20.16</v>
      </c>
      <c r="E56" s="49">
        <f>Sous_Detail_Prix!$E$69</f>
        <v>6624.8428131129176</v>
      </c>
      <c r="F56" s="52">
        <f t="shared" si="3"/>
        <v>133556.83111235642</v>
      </c>
    </row>
    <row r="57" spans="1:12" x14ac:dyDescent="0.25">
      <c r="A57" s="51" t="s">
        <v>681</v>
      </c>
      <c r="B57" s="15" t="s">
        <v>609</v>
      </c>
      <c r="C57" s="29" t="s">
        <v>269</v>
      </c>
      <c r="D57" s="54">
        <f>Charpente_Couverture!$G$68</f>
        <v>40.32</v>
      </c>
      <c r="E57" s="49">
        <f>Sous_Detail_Prix!$E$78</f>
        <v>1805.6</v>
      </c>
      <c r="F57" s="52">
        <f t="shared" si="3"/>
        <v>72801.792000000001</v>
      </c>
    </row>
    <row r="58" spans="1:12" x14ac:dyDescent="0.25">
      <c r="A58" s="51" t="s">
        <v>684</v>
      </c>
      <c r="B58" s="15" t="s">
        <v>275</v>
      </c>
      <c r="C58" s="29" t="s">
        <v>269</v>
      </c>
      <c r="D58" s="54">
        <f>Charpente_Couverture!$G$69</f>
        <v>68.997500000000002</v>
      </c>
      <c r="E58" s="49">
        <f>PU_FORME_PENTE</f>
        <v>3025</v>
      </c>
      <c r="F58" s="52">
        <f t="shared" si="3"/>
        <v>208717.4375</v>
      </c>
    </row>
    <row r="59" spans="1:12" ht="15" customHeight="1" x14ac:dyDescent="0.25">
      <c r="A59" s="2" t="s">
        <v>839</v>
      </c>
      <c r="B59" s="2"/>
      <c r="C59" s="2"/>
      <c r="D59" s="2"/>
      <c r="E59" s="2"/>
      <c r="F59" s="47">
        <f>SUM(F53:F58)</f>
        <v>1476148.3208093874</v>
      </c>
      <c r="G59" s="34"/>
      <c r="H59" s="34"/>
      <c r="I59" s="34"/>
      <c r="J59" s="34"/>
      <c r="K59" s="34"/>
      <c r="L59" s="34"/>
    </row>
    <row r="61" spans="1:12" ht="15" customHeight="1" x14ac:dyDescent="0.25">
      <c r="A61" s="3" t="s">
        <v>840</v>
      </c>
      <c r="B61" s="3"/>
      <c r="C61" s="3"/>
      <c r="D61" s="3"/>
      <c r="E61" s="3"/>
      <c r="F61" s="3"/>
      <c r="G61" s="3"/>
      <c r="H61" s="3"/>
      <c r="I61" s="3"/>
      <c r="J61" s="3"/>
      <c r="K61" s="3"/>
      <c r="L61" s="3"/>
    </row>
    <row r="63" spans="1:12" ht="15" customHeight="1" x14ac:dyDescent="0.25">
      <c r="A63" s="2" t="s">
        <v>841</v>
      </c>
      <c r="B63" s="2"/>
      <c r="C63" s="2"/>
      <c r="D63" s="2"/>
      <c r="E63" s="2"/>
      <c r="F63" s="47">
        <f>F14+F24+F36+F49+F59</f>
        <v>10913487.543053694</v>
      </c>
      <c r="G63" s="34"/>
      <c r="H63" s="34"/>
      <c r="I63" s="34"/>
      <c r="J63" s="34"/>
      <c r="K63" s="34"/>
      <c r="L63" s="34"/>
    </row>
    <row r="65" spans="1:6" ht="15" customHeight="1" x14ac:dyDescent="0.25">
      <c r="A65" s="50"/>
      <c r="B65" s="5" t="s">
        <v>842</v>
      </c>
      <c r="C65" s="5"/>
      <c r="D65" s="5"/>
      <c r="E65" s="5"/>
      <c r="F65" s="5"/>
    </row>
    <row r="66" spans="1:6" x14ac:dyDescent="0.25">
      <c r="A66" s="51" t="s">
        <v>674</v>
      </c>
      <c r="B66" s="15" t="s">
        <v>843</v>
      </c>
      <c r="C66" s="29" t="s">
        <v>246</v>
      </c>
      <c r="D66" s="32">
        <v>1</v>
      </c>
      <c r="E66" s="30">
        <v>0</v>
      </c>
      <c r="F66" s="52">
        <f t="shared" ref="F66:F81" si="4">D66*E66</f>
        <v>0</v>
      </c>
    </row>
    <row r="67" spans="1:6" x14ac:dyDescent="0.25">
      <c r="A67" s="51" t="s">
        <v>677</v>
      </c>
      <c r="B67" s="15" t="s">
        <v>844</v>
      </c>
      <c r="C67" s="29" t="s">
        <v>246</v>
      </c>
      <c r="D67" s="32">
        <v>1</v>
      </c>
      <c r="E67" s="30">
        <v>0</v>
      </c>
      <c r="F67" s="52">
        <f t="shared" si="4"/>
        <v>0</v>
      </c>
    </row>
    <row r="68" spans="1:6" x14ac:dyDescent="0.25">
      <c r="A68" s="51" t="s">
        <v>678</v>
      </c>
      <c r="B68" s="15" t="s">
        <v>845</v>
      </c>
      <c r="C68" s="29" t="s">
        <v>246</v>
      </c>
      <c r="D68" s="32">
        <v>1</v>
      </c>
      <c r="E68" s="30">
        <v>0</v>
      </c>
      <c r="F68" s="52">
        <f t="shared" si="4"/>
        <v>0</v>
      </c>
    </row>
    <row r="69" spans="1:6" x14ac:dyDescent="0.25">
      <c r="A69" s="51" t="s">
        <v>680</v>
      </c>
      <c r="B69" s="15" t="s">
        <v>846</v>
      </c>
      <c r="C69" s="29" t="s">
        <v>246</v>
      </c>
      <c r="D69" s="32">
        <v>1</v>
      </c>
      <c r="E69" s="30">
        <v>0</v>
      </c>
      <c r="F69" s="52">
        <f t="shared" si="4"/>
        <v>0</v>
      </c>
    </row>
    <row r="70" spans="1:6" x14ac:dyDescent="0.25">
      <c r="A70" s="51" t="s">
        <v>681</v>
      </c>
      <c r="B70" s="15" t="s">
        <v>847</v>
      </c>
      <c r="C70" s="29" t="s">
        <v>246</v>
      </c>
      <c r="D70" s="32">
        <v>1</v>
      </c>
      <c r="E70" s="30">
        <v>0</v>
      </c>
      <c r="F70" s="52">
        <f t="shared" si="4"/>
        <v>0</v>
      </c>
    </row>
    <row r="71" spans="1:6" x14ac:dyDescent="0.25">
      <c r="A71" s="51" t="s">
        <v>684</v>
      </c>
      <c r="B71" s="15" t="s">
        <v>848</v>
      </c>
      <c r="C71" s="29" t="s">
        <v>246</v>
      </c>
      <c r="D71" s="32">
        <v>1</v>
      </c>
      <c r="E71" s="30">
        <v>0</v>
      </c>
      <c r="F71" s="52">
        <f t="shared" si="4"/>
        <v>0</v>
      </c>
    </row>
    <row r="72" spans="1:6" x14ac:dyDescent="0.25">
      <c r="A72" s="51" t="s">
        <v>686</v>
      </c>
      <c r="B72" s="15" t="s">
        <v>849</v>
      </c>
      <c r="C72" s="29" t="s">
        <v>246</v>
      </c>
      <c r="D72" s="32">
        <v>1</v>
      </c>
      <c r="E72" s="30">
        <v>0</v>
      </c>
      <c r="F72" s="52">
        <f t="shared" si="4"/>
        <v>0</v>
      </c>
    </row>
    <row r="73" spans="1:6" x14ac:dyDescent="0.25">
      <c r="A73" s="51" t="s">
        <v>687</v>
      </c>
      <c r="B73" s="15" t="s">
        <v>850</v>
      </c>
      <c r="C73" s="29" t="s">
        <v>246</v>
      </c>
      <c r="D73" s="32">
        <v>1</v>
      </c>
      <c r="E73" s="30">
        <v>0</v>
      </c>
      <c r="F73" s="52">
        <f t="shared" si="4"/>
        <v>0</v>
      </c>
    </row>
    <row r="74" spans="1:6" x14ac:dyDescent="0.25">
      <c r="A74" s="51" t="s">
        <v>688</v>
      </c>
      <c r="B74" s="15" t="s">
        <v>851</v>
      </c>
      <c r="C74" s="29" t="s">
        <v>246</v>
      </c>
      <c r="D74" s="32">
        <v>1</v>
      </c>
      <c r="E74" s="30">
        <v>0</v>
      </c>
      <c r="F74" s="52">
        <f t="shared" si="4"/>
        <v>0</v>
      </c>
    </row>
    <row r="75" spans="1:6" x14ac:dyDescent="0.25">
      <c r="A75" s="51" t="s">
        <v>689</v>
      </c>
      <c r="B75" s="15" t="s">
        <v>852</v>
      </c>
      <c r="C75" s="29" t="s">
        <v>246</v>
      </c>
      <c r="D75" s="32">
        <v>1</v>
      </c>
      <c r="E75" s="30">
        <v>0</v>
      </c>
      <c r="F75" s="52">
        <f t="shared" si="4"/>
        <v>0</v>
      </c>
    </row>
    <row r="76" spans="1:6" x14ac:dyDescent="0.25">
      <c r="A76" s="51" t="s">
        <v>690</v>
      </c>
      <c r="B76" s="15" t="s">
        <v>853</v>
      </c>
      <c r="C76" s="29" t="s">
        <v>246</v>
      </c>
      <c r="D76" s="32">
        <v>1</v>
      </c>
      <c r="E76" s="30">
        <v>0</v>
      </c>
      <c r="F76" s="52">
        <f t="shared" si="4"/>
        <v>0</v>
      </c>
    </row>
    <row r="77" spans="1:6" x14ac:dyDescent="0.25">
      <c r="A77" s="51" t="s">
        <v>691</v>
      </c>
      <c r="B77" s="15" t="s">
        <v>854</v>
      </c>
      <c r="C77" s="29" t="s">
        <v>246</v>
      </c>
      <c r="D77" s="32">
        <v>1</v>
      </c>
      <c r="E77" s="30">
        <v>0</v>
      </c>
      <c r="F77" s="52">
        <f t="shared" si="4"/>
        <v>0</v>
      </c>
    </row>
    <row r="78" spans="1:6" x14ac:dyDescent="0.25">
      <c r="A78" s="51" t="s">
        <v>692</v>
      </c>
      <c r="B78" s="15" t="s">
        <v>855</v>
      </c>
      <c r="C78" s="29" t="s">
        <v>246</v>
      </c>
      <c r="D78" s="32">
        <v>1</v>
      </c>
      <c r="E78" s="30">
        <v>0</v>
      </c>
      <c r="F78" s="52">
        <f t="shared" si="4"/>
        <v>0</v>
      </c>
    </row>
    <row r="79" spans="1:6" x14ac:dyDescent="0.25">
      <c r="A79" s="51" t="s">
        <v>693</v>
      </c>
      <c r="B79" s="15" t="s">
        <v>856</v>
      </c>
      <c r="C79" s="29" t="s">
        <v>246</v>
      </c>
      <c r="D79" s="32">
        <v>1</v>
      </c>
      <c r="E79" s="30">
        <v>0</v>
      </c>
      <c r="F79" s="52">
        <f t="shared" si="4"/>
        <v>0</v>
      </c>
    </row>
    <row r="80" spans="1:6" x14ac:dyDescent="0.25">
      <c r="A80" s="51" t="s">
        <v>694</v>
      </c>
      <c r="B80" s="15" t="s">
        <v>857</v>
      </c>
      <c r="C80" s="29" t="s">
        <v>246</v>
      </c>
      <c r="D80" s="32">
        <v>1</v>
      </c>
      <c r="E80" s="30">
        <v>0</v>
      </c>
      <c r="F80" s="52">
        <f t="shared" si="4"/>
        <v>0</v>
      </c>
    </row>
    <row r="81" spans="1:12" x14ac:dyDescent="0.25">
      <c r="A81" s="51" t="s">
        <v>696</v>
      </c>
      <c r="B81" s="15" t="s">
        <v>858</v>
      </c>
      <c r="C81" s="29" t="s">
        <v>246</v>
      </c>
      <c r="D81" s="32">
        <v>1</v>
      </c>
      <c r="E81" s="30">
        <v>0</v>
      </c>
      <c r="F81" s="52">
        <f t="shared" si="4"/>
        <v>0</v>
      </c>
    </row>
    <row r="82" spans="1:12" ht="15" customHeight="1" x14ac:dyDescent="0.25">
      <c r="A82" s="2" t="s">
        <v>859</v>
      </c>
      <c r="B82" s="2"/>
      <c r="C82" s="2"/>
      <c r="D82" s="2"/>
      <c r="E82" s="2"/>
      <c r="F82" s="47">
        <f>SUM(F66:F81)</f>
        <v>0</v>
      </c>
      <c r="G82" s="34"/>
      <c r="H82" s="34"/>
      <c r="I82" s="34"/>
      <c r="J82" s="34"/>
      <c r="K82" s="34"/>
      <c r="L82" s="34"/>
    </row>
    <row r="84" spans="1:12" ht="15" customHeight="1" x14ac:dyDescent="0.25">
      <c r="A84" s="3" t="s">
        <v>860</v>
      </c>
      <c r="B84" s="3"/>
      <c r="C84" s="3"/>
      <c r="D84" s="3"/>
      <c r="E84" s="3"/>
      <c r="F84" s="3"/>
      <c r="G84" s="3"/>
      <c r="H84" s="3"/>
      <c r="I84" s="3"/>
      <c r="J84" s="3"/>
      <c r="K84" s="3"/>
      <c r="L84" s="3"/>
    </row>
    <row r="86" spans="1:12" ht="15" customHeight="1" x14ac:dyDescent="0.25">
      <c r="A86" s="2" t="s">
        <v>861</v>
      </c>
      <c r="B86" s="2"/>
      <c r="C86" s="2"/>
      <c r="D86" s="2"/>
      <c r="E86" s="2"/>
      <c r="F86" s="47">
        <f>F63+F82</f>
        <v>10913487.543053694</v>
      </c>
      <c r="G86" s="34"/>
      <c r="H86" s="34"/>
      <c r="I86" s="34"/>
      <c r="J86" s="34"/>
      <c r="K86" s="34"/>
      <c r="L86" s="34"/>
    </row>
    <row r="87" spans="1:12" x14ac:dyDescent="0.25">
      <c r="B87" s="15" t="s">
        <v>862</v>
      </c>
      <c r="D87" s="48">
        <f>PU_TVA</f>
        <v>0.18</v>
      </c>
      <c r="F87" s="46">
        <f>F86*D87</f>
        <v>1964427.7577496648</v>
      </c>
    </row>
    <row r="89" spans="1:12" ht="15" customHeight="1" x14ac:dyDescent="0.25">
      <c r="A89" s="2" t="s">
        <v>863</v>
      </c>
      <c r="B89" s="2"/>
      <c r="C89" s="2"/>
      <c r="D89" s="2"/>
      <c r="E89" s="2"/>
      <c r="F89" s="53">
        <f>F86+F87</f>
        <v>12877915.30080336</v>
      </c>
      <c r="G89" s="34"/>
      <c r="H89" s="34"/>
      <c r="I89" s="34"/>
      <c r="J89" s="34"/>
      <c r="K89" s="34"/>
      <c r="L89" s="34"/>
    </row>
    <row r="90" spans="1:12" ht="15" customHeight="1" x14ac:dyDescent="0.25">
      <c r="A90" s="2" t="s">
        <v>864</v>
      </c>
      <c r="B90" s="2"/>
      <c r="C90" s="2"/>
      <c r="D90" s="2"/>
      <c r="E90" s="2"/>
      <c r="F90" s="53">
        <f>F89</f>
        <v>12877915.30080336</v>
      </c>
      <c r="G90" s="34"/>
      <c r="H90" s="34"/>
      <c r="I90" s="34"/>
      <c r="J90" s="34"/>
      <c r="K90" s="34"/>
      <c r="L90" s="34"/>
    </row>
  </sheetData>
  <mergeCells count="22">
    <mergeCell ref="A89:E89"/>
    <mergeCell ref="A90:E90"/>
    <mergeCell ref="A63:E63"/>
    <mergeCell ref="B65:F65"/>
    <mergeCell ref="A82:E82"/>
    <mergeCell ref="A84:L84"/>
    <mergeCell ref="A86:E86"/>
    <mergeCell ref="A49:E49"/>
    <mergeCell ref="A51:L51"/>
    <mergeCell ref="B52:F52"/>
    <mergeCell ref="A59:E59"/>
    <mergeCell ref="A61:L61"/>
    <mergeCell ref="B16:F16"/>
    <mergeCell ref="A24:E24"/>
    <mergeCell ref="B26:F26"/>
    <mergeCell ref="A36:E36"/>
    <mergeCell ref="B38:F38"/>
    <mergeCell ref="A2:F2"/>
    <mergeCell ref="A3:F3"/>
    <mergeCell ref="A5:F5"/>
    <mergeCell ref="B8:F8"/>
    <mergeCell ref="A14:E1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Feuilles de calcul</vt:lpstr>
      </vt:variant>
      <vt:variant>
        <vt:i4>11</vt:i4>
      </vt:variant>
      <vt:variant>
        <vt:lpstr>Plages nommées</vt:lpstr>
      </vt:variant>
      <vt:variant>
        <vt:i4>107</vt:i4>
      </vt:variant>
    </vt:vector>
  </HeadingPairs>
  <TitlesOfParts>
    <vt:vector size="118" baseType="lpstr">
      <vt:lpstr>Notice</vt:lpstr>
      <vt:lpstr>Parametres</vt:lpstr>
      <vt:lpstr>Prix_Unitaires</vt:lpstr>
      <vt:lpstr>Fondation</vt:lpstr>
      <vt:lpstr>Elevation</vt:lpstr>
      <vt:lpstr>Dalle</vt:lpstr>
      <vt:lpstr>Finition</vt:lpstr>
      <vt:lpstr>Charpente_Couverture</vt:lpstr>
      <vt:lpstr>Sous_Detail_Prix</vt:lpstr>
      <vt:lpstr>Devis_Particulier</vt:lpstr>
      <vt:lpstr>Devis_Entreprise</vt:lpstr>
      <vt:lpstr>CARREAUX_S1</vt:lpstr>
      <vt:lpstr>CHAUX_M2_KG</vt:lpstr>
      <vt:lpstr>CHEVRON_TRAV_V1</vt:lpstr>
      <vt:lpstr>CIMENT_COLLE_KGM2</vt:lpstr>
      <vt:lpstr>CLOUS_CHARPENTE_KGM3</vt:lpstr>
      <vt:lpstr>CLOUS_COFFRAGE_KGM2</vt:lpstr>
      <vt:lpstr>CLOUS_COUVERTURE_KGM2</vt:lpstr>
      <vt:lpstr>COEF_GRAVIER_VOL</vt:lpstr>
      <vt:lpstr>COEF_SABLE_MORTIER</vt:lpstr>
      <vt:lpstr>COEF_SABLE_VOL</vt:lpstr>
      <vt:lpstr>CROCHET</vt:lpstr>
      <vt:lpstr>CT_TASSEMENT</vt:lpstr>
      <vt:lpstr>DENSITE_BETON_FRAIS</vt:lpstr>
      <vt:lpstr>DENSITE_GRAVIER</vt:lpstr>
      <vt:lpstr>DENSITE_MOELLON</vt:lpstr>
      <vt:lpstr>DENSITE_SABLE</vt:lpstr>
      <vt:lpstr>DENSITE_TERRE</vt:lpstr>
      <vt:lpstr>DOSAGE_MORTIER_MACONNERIE</vt:lpstr>
      <vt:lpstr>EAU_PAR_DOSAGE</vt:lpstr>
      <vt:lpstr>ENDUIT_CIMENT_KGM2</vt:lpstr>
      <vt:lpstr>ENROBAGE</vt:lpstr>
      <vt:lpstr>FAIENCE_S1</vt:lpstr>
      <vt:lpstr>FIL_LIGATURE_PCT</vt:lpstr>
      <vt:lpstr>JOINT_MACONNERIE</vt:lpstr>
      <vt:lpstr>LONG_BARRE_COMMERCIALE</vt:lpstr>
      <vt:lpstr>LONG_BARRE_UTILE</vt:lpstr>
      <vt:lpstr>MAJORATION_ACHAT</vt:lpstr>
      <vt:lpstr>MAJORATION_CARRELAGE</vt:lpstr>
      <vt:lpstr>MOELLON_PCT_VOLUME</vt:lpstr>
      <vt:lpstr>NB_COUCHES_PEINTURE</vt:lpstr>
      <vt:lpstr>NUANCE_HA_DEFAUT</vt:lpstr>
      <vt:lpstr>NUANCE_RL_DEFAUT</vt:lpstr>
      <vt:lpstr>PEINTURE_CLASSIQUE_M2_L</vt:lpstr>
      <vt:lpstr>PEINTURE_LATEX_M2_KG</vt:lpstr>
      <vt:lpstr>PLANCHE_e</vt:lpstr>
      <vt:lpstr>PLANCHE_L</vt:lpstr>
      <vt:lpstr>PLANCHE_LARGEUR</vt:lpstr>
      <vt:lpstr>POIDS_SAC_CIMENT</vt:lpstr>
      <vt:lpstr>POIDS_VOL_ACIER</vt:lpstr>
      <vt:lpstr>PU_AMENEE_REPLI</vt:lpstr>
      <vt:lpstr>PU_BLOC15</vt:lpstr>
      <vt:lpstr>PU_BLOC20</vt:lpstr>
      <vt:lpstr>PU_CARREAUX</vt:lpstr>
      <vt:lpstr>PU_CHAUX</vt:lpstr>
      <vt:lpstr>PU_CHEVRON</vt:lpstr>
      <vt:lpstr>PU_CIMENT</vt:lpstr>
      <vt:lpstr>PU_CIMENTCOLLE</vt:lpstr>
      <vt:lpstr>PU_CLOUS</vt:lpstr>
      <vt:lpstr>PU_DRESSEMENT_TABLEAUX</vt:lpstr>
      <vt:lpstr>PU_EAU</vt:lpstr>
      <vt:lpstr>PU_EVACUATION_DEBLAIS</vt:lpstr>
      <vt:lpstr>PU_FAIENCE</vt:lpstr>
      <vt:lpstr>PU_FIL</vt:lpstr>
      <vt:lpstr>PU_FORME_PENTE</vt:lpstr>
      <vt:lpstr>PU_FOUILLE_PUITS</vt:lpstr>
      <vt:lpstr>PU_FOUILLE_TRANCHEE</vt:lpstr>
      <vt:lpstr>PU_GRAVIER</vt:lpstr>
      <vt:lpstr>PU_HA10</vt:lpstr>
      <vt:lpstr>PU_HA12</vt:lpstr>
      <vt:lpstr>PU_HA14</vt:lpstr>
      <vt:lpstr>PU_HA16</vt:lpstr>
      <vt:lpstr>PU_HA6</vt:lpstr>
      <vt:lpstr>PU_HA8</vt:lpstr>
      <vt:lpstr>PU_HONO_ARCHI</vt:lpstr>
      <vt:lpstr>PU_HONO_ING</vt:lpstr>
      <vt:lpstr>PU_HOURDIS_12_4</vt:lpstr>
      <vt:lpstr>PU_HOURDIS_16_4</vt:lpstr>
      <vt:lpstr>PU_IMPREVUS</vt:lpstr>
      <vt:lpstr>PU_INSTALLATION</vt:lpstr>
      <vt:lpstr>PU_LATEX</vt:lpstr>
      <vt:lpstr>PU_MO_FINITION_POURCENT</vt:lpstr>
      <vt:lpstr>PU_MO_POURCENT</vt:lpstr>
      <vt:lpstr>PU_MOELLON</vt:lpstr>
      <vt:lpstr>PU_MUR_SOUBASSEMENT</vt:lpstr>
      <vt:lpstr>PU_PEINTURE_BOIS</vt:lpstr>
      <vt:lpstr>PU_PEINTURE_CL</vt:lpstr>
      <vt:lpstr>PU_PLANCHE</vt:lpstr>
      <vt:lpstr>PU_REMBLAI_DALLAGE</vt:lpstr>
      <vt:lpstr>PU_REMBLAI_FONDATION</vt:lpstr>
      <vt:lpstr>PU_RL10</vt:lpstr>
      <vt:lpstr>PU_RL12</vt:lpstr>
      <vt:lpstr>PU_RL6</vt:lpstr>
      <vt:lpstr>PU_RL8</vt:lpstr>
      <vt:lpstr>PU_SABLE</vt:lpstr>
      <vt:lpstr>PU_SCELLEMENT_HUISSERIE</vt:lpstr>
      <vt:lpstr>PU_TOLE</vt:lpstr>
      <vt:lpstr>PU_TOLE_FAIT</vt:lpstr>
      <vt:lpstr>PU_TRANSPORT</vt:lpstr>
      <vt:lpstr>PU_TVA</vt:lpstr>
      <vt:lpstr>RATIO_COFFRAGE_CHAINAGE</vt:lpstr>
      <vt:lpstr>RATIO_COFFRAGE_DALLE</vt:lpstr>
      <vt:lpstr>RATIO_COFFRAGE_POTEAU</vt:lpstr>
      <vt:lpstr>RATIO_COFFRAGE_POUTRE</vt:lpstr>
      <vt:lpstr>RATIO_COFFRAGE_SEMELLE</vt:lpstr>
      <vt:lpstr>RATIO_EAU_CIMENT_MORTIER</vt:lpstr>
      <vt:lpstr>SABLE_MORTIER_L_CM_M2</vt:lpstr>
      <vt:lpstr>TAB_ACIER_DIAM</vt:lpstr>
      <vt:lpstr>TAB_ACIER_POIDS</vt:lpstr>
      <vt:lpstr>TAB_NUANCE_COEF</vt:lpstr>
      <vt:lpstr>TAB_NUANCE_NOM</vt:lpstr>
      <vt:lpstr>TAB_PRIX_ACIER_DIAM</vt:lpstr>
      <vt:lpstr>TAB_PRIX_ACIER_RL_DIAM</vt:lpstr>
      <vt:lpstr>TAB_PRIX_ACIER_RL_VAL</vt:lpstr>
      <vt:lpstr>TAB_PRIX_ACIER_VAL</vt:lpstr>
      <vt:lpstr>TRAVERSES_PCT</vt:lpstr>
      <vt:lpstr>VOL_BROUETTE</vt:lpstr>
      <vt:lpstr>VOL_MORTIER_PAR_BLOC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RAPHAEL PETIEMVE</cp:lastModifiedBy>
  <cp:revision>0</cp:revision>
  <dcterms:created xsi:type="dcterms:W3CDTF">2026-08-27T04:30:30Z</dcterms:created>
  <dcterms:modified xsi:type="dcterms:W3CDTF">2026-08-30T04:01:07Z</dcterms:modified>
  <dc:language>en-US</dc:language>
</cp:coreProperties>
</file>