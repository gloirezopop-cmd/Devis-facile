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s R+1" sheetId="1" state="visible" r:id="rId1"/>
    <sheet xmlns:r="http://schemas.openxmlformats.org/officeDocument/2006/relationships" name="Devis F4" sheetId="2" state="visible" r:id="rId2"/>
    <sheet xmlns:r="http://schemas.openxmlformats.org/officeDocument/2006/relationships" name="Form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DEVIS QUANTITATIF &amp; ESTIMATIF — VILLA R+1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N°</t>
        </is>
      </c>
      <c r="B3" s="3" t="inlineStr">
        <is>
          <t>DÉSIGNATION</t>
        </is>
      </c>
      <c r="C3" s="3" t="inlineStr">
        <is>
          <t>UNITÉ</t>
        </is>
      </c>
      <c r="D3" s="3" t="inlineStr">
        <is>
          <t>QUANTITÉ</t>
        </is>
      </c>
      <c r="E3" s="3" t="inlineStr">
        <is>
          <t>PRIX UNITAIRE</t>
        </is>
      </c>
      <c r="F3" s="3" t="inlineStr">
        <is>
          <t>PRIX TOTAL</t>
        </is>
      </c>
    </row>
    <row r="4">
      <c r="A4" s="4" t="n"/>
      <c r="B4" s="4" t="inlineStr">
        <is>
          <t>A — TERRASSEMENTS &amp; PRÉPARATION DU CHANTIER</t>
        </is>
      </c>
      <c r="C4" s="4" t="n"/>
      <c r="D4" s="4" t="n"/>
      <c r="E4" s="4" t="n"/>
      <c r="F4" s="4" t="n"/>
    </row>
    <row r="5">
      <c r="A5" s="5" t="inlineStr">
        <is>
          <t>1</t>
        </is>
      </c>
      <c r="B5" s="5" t="inlineStr">
        <is>
          <t>Amenée et repli de matériel</t>
        </is>
      </c>
      <c r="C5" s="5" t="inlineStr">
        <is>
          <t>Ens</t>
        </is>
      </c>
      <c r="D5" s="6" t="n">
        <v>1</v>
      </c>
      <c r="E5" s="6" t="n">
        <v>200000</v>
      </c>
      <c r="F5" s="6">
        <f>D5*E5</f>
        <v/>
      </c>
    </row>
    <row r="6">
      <c r="A6" s="5" t="inlineStr">
        <is>
          <t>2</t>
        </is>
      </c>
      <c r="B6" s="5" t="inlineStr">
        <is>
          <t>Fouilles en puit pour semelles isolées</t>
        </is>
      </c>
      <c r="C6" s="5" t="inlineStr">
        <is>
          <t>m³</t>
        </is>
      </c>
      <c r="D6" s="6" t="n">
        <v>154.8</v>
      </c>
      <c r="E6" s="6" t="n">
        <v>1886</v>
      </c>
      <c r="F6" s="6">
        <f>D6*E6</f>
        <v/>
      </c>
    </row>
    <row r="7">
      <c r="A7" s="5" t="inlineStr">
        <is>
          <t>3</t>
        </is>
      </c>
      <c r="B7" s="5" t="inlineStr">
        <is>
          <t>Fouilles en tranchée pour longrines</t>
        </is>
      </c>
      <c r="C7" s="5" t="inlineStr">
        <is>
          <t>m³</t>
        </is>
      </c>
      <c r="D7" s="6" t="n">
        <v>35.8</v>
      </c>
      <c r="E7" s="6" t="n">
        <v>1162</v>
      </c>
      <c r="F7" s="6">
        <f>D7*E7</f>
        <v/>
      </c>
    </row>
    <row r="8">
      <c r="A8" s="5" t="inlineStr">
        <is>
          <t>4</t>
        </is>
      </c>
      <c r="B8" s="5" t="inlineStr">
        <is>
          <t>Remblais sous dallage</t>
        </is>
      </c>
      <c r="C8" s="5" t="inlineStr">
        <is>
          <t>m³</t>
        </is>
      </c>
      <c r="D8" s="6" t="n">
        <v>95.59999999999999</v>
      </c>
      <c r="E8" s="6" t="n">
        <v>1200</v>
      </c>
      <c r="F8" s="6">
        <f>D8*E8</f>
        <v/>
      </c>
    </row>
    <row r="9">
      <c r="A9" s="5" t="inlineStr">
        <is>
          <t>5</t>
        </is>
      </c>
      <c r="B9" s="5" t="inlineStr">
        <is>
          <t>Remblais au droit des fondations avec terres extraites des fouilles</t>
        </is>
      </c>
      <c r="C9" s="5" t="inlineStr">
        <is>
          <t>m³</t>
        </is>
      </c>
      <c r="D9" s="6" t="n">
        <v>86.90000000000001</v>
      </c>
      <c r="E9" s="6" t="n">
        <v>1505</v>
      </c>
      <c r="F9" s="6">
        <f>D9*E9</f>
        <v/>
      </c>
    </row>
    <row r="10">
      <c r="A10" s="5" t="inlineStr">
        <is>
          <t>6</t>
        </is>
      </c>
      <c r="B10" s="5" t="inlineStr">
        <is>
          <t>Évacuation des déblais</t>
        </is>
      </c>
      <c r="C10" s="5" t="inlineStr">
        <is>
          <t>m³</t>
        </is>
      </c>
      <c r="D10" s="6" t="n">
        <v>49.3</v>
      </c>
      <c r="E10" s="6" t="n">
        <v>1500</v>
      </c>
      <c r="F10" s="6">
        <f>D10*E10</f>
        <v/>
      </c>
    </row>
    <row r="11">
      <c r="A11" s="7" t="n"/>
      <c r="B11" s="7" t="inlineStr">
        <is>
          <t>Sous-total Terrassements &amp; préparation</t>
        </is>
      </c>
      <c r="C11" s="7" t="n"/>
      <c r="D11" s="7" t="n"/>
      <c r="E11" s="7" t="n"/>
      <c r="F11" s="8">
        <f>SUM(F5:F10)</f>
        <v/>
      </c>
    </row>
    <row r="12">
      <c r="A12" s="4" t="n"/>
      <c r="B12" s="4" t="inlineStr">
        <is>
          <t>I — FONDATION</t>
        </is>
      </c>
      <c r="C12" s="4" t="n"/>
      <c r="D12" s="4" t="n"/>
      <c r="E12" s="4" t="n"/>
      <c r="F12" s="4" t="n"/>
    </row>
    <row r="13">
      <c r="A13" s="5" t="inlineStr">
        <is>
          <t>1</t>
        </is>
      </c>
      <c r="B13" s="5" t="inlineStr">
        <is>
          <t>Béton de propreté Ep=5 cm</t>
        </is>
      </c>
      <c r="C13" s="5" t="inlineStr">
        <is>
          <t>m³</t>
        </is>
      </c>
      <c r="D13" s="6" t="n">
        <v>4.9</v>
      </c>
      <c r="E13" s="6" t="n">
        <v>65000</v>
      </c>
      <c r="F13" s="6">
        <f>D13*E13</f>
        <v/>
      </c>
    </row>
    <row r="14">
      <c r="A14" s="5" t="inlineStr">
        <is>
          <t>2</t>
        </is>
      </c>
      <c r="B14" s="5" t="inlineStr">
        <is>
          <t>Béton dosé à 350 kg/m³ pour semelles</t>
        </is>
      </c>
      <c r="C14" s="5" t="inlineStr">
        <is>
          <t>m³</t>
        </is>
      </c>
      <c r="D14" s="6" t="n">
        <v>14</v>
      </c>
      <c r="E14" s="6" t="n">
        <v>125000</v>
      </c>
      <c r="F14" s="6">
        <f>D14*E14</f>
        <v/>
      </c>
    </row>
    <row r="15">
      <c r="A15" s="5" t="inlineStr">
        <is>
          <t>3</t>
        </is>
      </c>
      <c r="B15" s="5" t="inlineStr">
        <is>
          <t>Béton dosé à 350 kg/m³ pour longrines</t>
        </is>
      </c>
      <c r="C15" s="5" t="inlineStr">
        <is>
          <t>m³</t>
        </is>
      </c>
      <c r="D15" s="6" t="n">
        <v>4</v>
      </c>
      <c r="E15" s="6" t="n">
        <v>125000</v>
      </c>
      <c r="F15" s="6">
        <f>D15*E15</f>
        <v/>
      </c>
    </row>
    <row r="16">
      <c r="A16" s="5" t="inlineStr">
        <is>
          <t>4</t>
        </is>
      </c>
      <c r="B16" s="5" t="inlineStr">
        <is>
          <t>Béton dosé à 350 kg/m³ pour amorce poteaux</t>
        </is>
      </c>
      <c r="C16" s="5" t="inlineStr">
        <is>
          <t>m³</t>
        </is>
      </c>
      <c r="D16" s="6" t="n">
        <v>1.5</v>
      </c>
      <c r="E16" s="6" t="n">
        <v>125000</v>
      </c>
      <c r="F16" s="6">
        <f>D16*E16</f>
        <v/>
      </c>
    </row>
    <row r="17">
      <c r="A17" s="5" t="inlineStr">
        <is>
          <t>5</t>
        </is>
      </c>
      <c r="B17" s="5" t="inlineStr">
        <is>
          <t>Béton dosé à 300 kg/m³ pour dallage sol</t>
        </is>
      </c>
      <c r="C17" s="5" t="inlineStr">
        <is>
          <t>m³</t>
        </is>
      </c>
      <c r="D17" s="6" t="n">
        <v>15.5</v>
      </c>
      <c r="E17" s="6" t="n">
        <v>80000</v>
      </c>
      <c r="F17" s="6">
        <f>D17*E17</f>
        <v/>
      </c>
    </row>
    <row r="18">
      <c r="A18" s="5" t="inlineStr">
        <is>
          <t>6</t>
        </is>
      </c>
      <c r="B18" s="5" t="inlineStr">
        <is>
          <t>Mur de soubassement en agglos pleins de 15</t>
        </is>
      </c>
      <c r="C18" s="5" t="inlineStr">
        <is>
          <t>m²</t>
        </is>
      </c>
      <c r="D18" s="6" t="n">
        <v>63</v>
      </c>
      <c r="E18" s="6" t="n">
        <v>6045</v>
      </c>
      <c r="F18" s="6">
        <f>D18*E18</f>
        <v/>
      </c>
    </row>
    <row r="19">
      <c r="A19" s="7" t="n"/>
      <c r="B19" s="7" t="inlineStr">
        <is>
          <t>Sous-total Fondation</t>
        </is>
      </c>
      <c r="C19" s="7" t="n"/>
      <c r="D19" s="7" t="n"/>
      <c r="E19" s="7" t="n"/>
      <c r="F19" s="8">
        <f>SUM(F13:F18)</f>
        <v/>
      </c>
    </row>
    <row r="20">
      <c r="A20" s="4" t="n"/>
      <c r="B20" s="4" t="inlineStr">
        <is>
          <t>II — RDC</t>
        </is>
      </c>
      <c r="C20" s="4" t="n"/>
      <c r="D20" s="4" t="n"/>
      <c r="E20" s="4" t="n"/>
      <c r="F20" s="4" t="n"/>
    </row>
    <row r="21">
      <c r="A21" s="5" t="inlineStr">
        <is>
          <t>1</t>
        </is>
      </c>
      <c r="B21" s="5" t="inlineStr">
        <is>
          <t>Béton dosé à 350 kg/m³ pour poutres et poteaux</t>
        </is>
      </c>
      <c r="C21" s="5" t="inlineStr">
        <is>
          <t>m³</t>
        </is>
      </c>
      <c r="D21" s="6" t="n">
        <v>14</v>
      </c>
      <c r="E21" s="6" t="n">
        <v>125000</v>
      </c>
      <c r="F21" s="6">
        <f>D21*E21</f>
        <v/>
      </c>
    </row>
    <row r="22">
      <c r="A22" s="5" t="inlineStr">
        <is>
          <t>2</t>
        </is>
      </c>
      <c r="B22" s="5" t="inlineStr">
        <is>
          <t>Béton dosé à 350 kg/m³ pour linteaux et appuis</t>
        </is>
      </c>
      <c r="C22" s="5" t="inlineStr">
        <is>
          <t>m³</t>
        </is>
      </c>
      <c r="D22" s="6" t="n">
        <v>1.7</v>
      </c>
      <c r="E22" s="6" t="n">
        <v>125000</v>
      </c>
      <c r="F22" s="6">
        <f>D22*E22</f>
        <v/>
      </c>
    </row>
    <row r="23">
      <c r="A23" s="5" t="inlineStr">
        <is>
          <t>3</t>
        </is>
      </c>
      <c r="B23" s="5" t="inlineStr">
        <is>
          <t>Plancher hourdis 12+4</t>
        </is>
      </c>
      <c r="C23" s="5" t="inlineStr">
        <is>
          <t>m²</t>
        </is>
      </c>
      <c r="D23" s="6" t="n">
        <v>101.3</v>
      </c>
      <c r="E23" s="6" t="n">
        <v>9500</v>
      </c>
      <c r="F23" s="6">
        <f>D23*E23</f>
        <v/>
      </c>
    </row>
    <row r="24">
      <c r="A24" s="5" t="inlineStr">
        <is>
          <t>5</t>
        </is>
      </c>
      <c r="B24" s="5" t="inlineStr">
        <is>
          <t>Maçonnerie d'agglos creux de 15 cm</t>
        </is>
      </c>
      <c r="C24" s="5" t="inlineStr">
        <is>
          <t>m²</t>
        </is>
      </c>
      <c r="D24" s="6" t="n">
        <v>350.2</v>
      </c>
      <c r="E24" s="6" t="n">
        <v>5048</v>
      </c>
      <c r="F24" s="6">
        <f>D24*E24</f>
        <v/>
      </c>
    </row>
    <row r="25">
      <c r="A25" s="5" t="inlineStr">
        <is>
          <t>6</t>
        </is>
      </c>
      <c r="B25" s="5" t="inlineStr">
        <is>
          <t>Enduits intérieurs</t>
        </is>
      </c>
      <c r="C25" s="5" t="inlineStr">
        <is>
          <t>m²</t>
        </is>
      </c>
      <c r="D25" s="6" t="n">
        <v>395.3</v>
      </c>
      <c r="E25" s="6" t="n">
        <v>1500</v>
      </c>
      <c r="F25" s="6">
        <f>D25*E25</f>
        <v/>
      </c>
    </row>
    <row r="26">
      <c r="A26" s="5" t="inlineStr">
        <is>
          <t>7</t>
        </is>
      </c>
      <c r="B26" s="5" t="inlineStr">
        <is>
          <t>Enduits extérieurs</t>
        </is>
      </c>
      <c r="C26" s="5" t="inlineStr">
        <is>
          <t>m²</t>
        </is>
      </c>
      <c r="D26" s="6" t="n">
        <v>208.2</v>
      </c>
      <c r="E26" s="6" t="n">
        <v>1500</v>
      </c>
      <c r="F26" s="6">
        <f>D26*E26</f>
        <v/>
      </c>
    </row>
    <row r="27">
      <c r="A27" s="5" t="inlineStr">
        <is>
          <t>8</t>
        </is>
      </c>
      <c r="B27" s="5" t="inlineStr">
        <is>
          <t>Enduits sous face</t>
        </is>
      </c>
      <c r="C27" s="5" t="inlineStr">
        <is>
          <t>m²</t>
        </is>
      </c>
      <c r="D27" s="6" t="n">
        <v>93.40000000000001</v>
      </c>
      <c r="E27" s="6" t="n">
        <v>1500</v>
      </c>
      <c r="F27" s="6">
        <f>D27*E27</f>
        <v/>
      </c>
    </row>
    <row r="28">
      <c r="A28" s="5" t="inlineStr">
        <is>
          <t>9</t>
        </is>
      </c>
      <c r="B28" s="5" t="inlineStr">
        <is>
          <t>Scellement et calfeutrement des huisseries</t>
        </is>
      </c>
      <c r="C28" s="5" t="inlineStr">
        <is>
          <t>ml</t>
        </is>
      </c>
      <c r="D28" s="6" t="n">
        <v>21.5</v>
      </c>
      <c r="E28" s="6" t="n">
        <v>500</v>
      </c>
      <c r="F28" s="6">
        <f>D28*E28</f>
        <v/>
      </c>
    </row>
    <row r="29">
      <c r="A29" s="5" t="inlineStr">
        <is>
          <t>10</t>
        </is>
      </c>
      <c r="B29" s="5" t="inlineStr">
        <is>
          <t>Dressement des tableaux</t>
        </is>
      </c>
      <c r="C29" s="5" t="inlineStr">
        <is>
          <t>ml</t>
        </is>
      </c>
      <c r="D29" s="6" t="n">
        <v>21.5</v>
      </c>
      <c r="E29" s="6" t="n">
        <v>500</v>
      </c>
      <c r="F29" s="6">
        <f>D29*E29</f>
        <v/>
      </c>
    </row>
    <row r="30">
      <c r="A30" s="7" t="n"/>
      <c r="B30" s="7" t="inlineStr">
        <is>
          <t>Sous-total RDC</t>
        </is>
      </c>
      <c r="C30" s="7" t="n"/>
      <c r="D30" s="7" t="n"/>
      <c r="E30" s="7" t="n"/>
      <c r="F30" s="8">
        <f>SUM(F21:F29)</f>
        <v/>
      </c>
    </row>
    <row r="31">
      <c r="A31" s="4" t="n"/>
      <c r="B31" s="4" t="inlineStr">
        <is>
          <t>III — ÉTAGE</t>
        </is>
      </c>
      <c r="C31" s="4" t="n"/>
      <c r="D31" s="4" t="n"/>
      <c r="E31" s="4" t="n"/>
      <c r="F31" s="4" t="n"/>
    </row>
    <row r="32">
      <c r="A32" s="5" t="inlineStr">
        <is>
          <t>1</t>
        </is>
      </c>
      <c r="B32" s="5" t="inlineStr">
        <is>
          <t>Béton dosé à 350 kg/m³ pour poutres et poteaux</t>
        </is>
      </c>
      <c r="C32" s="5" t="inlineStr">
        <is>
          <t>m³</t>
        </is>
      </c>
      <c r="D32" s="6" t="n">
        <v>8.5</v>
      </c>
      <c r="E32" s="6" t="n">
        <v>125000</v>
      </c>
      <c r="F32" s="6">
        <f>D32*E32</f>
        <v/>
      </c>
    </row>
    <row r="33">
      <c r="A33" s="5" t="inlineStr">
        <is>
          <t>2</t>
        </is>
      </c>
      <c r="B33" s="5" t="inlineStr">
        <is>
          <t>Béton dosé à 350 kg/m³ pour linteaux et appuis</t>
        </is>
      </c>
      <c r="C33" s="5" t="inlineStr">
        <is>
          <t>m³</t>
        </is>
      </c>
      <c r="D33" s="6" t="n">
        <v>1.8</v>
      </c>
      <c r="E33" s="6" t="n">
        <v>125000</v>
      </c>
      <c r="F33" s="6">
        <f>D33*E33</f>
        <v/>
      </c>
    </row>
    <row r="34">
      <c r="A34" s="5" t="inlineStr">
        <is>
          <t>2</t>
        </is>
      </c>
      <c r="B34" s="5" t="inlineStr">
        <is>
          <t>Béton dosé à 350 kg/m³ pour escalier</t>
        </is>
      </c>
      <c r="C34" s="5" t="inlineStr">
        <is>
          <t>m³</t>
        </is>
      </c>
      <c r="D34" s="6" t="n">
        <v>3.5</v>
      </c>
      <c r="E34" s="6" t="n">
        <v>125000</v>
      </c>
      <c r="F34" s="6">
        <f>D34*E34</f>
        <v/>
      </c>
    </row>
    <row r="35">
      <c r="A35" s="5" t="inlineStr">
        <is>
          <t>3</t>
        </is>
      </c>
      <c r="B35" s="5" t="inlineStr">
        <is>
          <t>Plancher hourdis 12+4</t>
        </is>
      </c>
      <c r="C35" s="5" t="inlineStr">
        <is>
          <t>m²</t>
        </is>
      </c>
      <c r="D35" s="6" t="n">
        <v>107.1</v>
      </c>
      <c r="E35" s="6" t="n">
        <v>9500</v>
      </c>
      <c r="F35" s="6">
        <f>D35*E35</f>
        <v/>
      </c>
    </row>
    <row r="36">
      <c r="A36" s="5" t="inlineStr">
        <is>
          <t>5</t>
        </is>
      </c>
      <c r="B36" s="5" t="inlineStr">
        <is>
          <t>Maçonnerie d'agglos creux de 15 cm</t>
        </is>
      </c>
      <c r="C36" s="5" t="inlineStr">
        <is>
          <t>m²</t>
        </is>
      </c>
      <c r="D36" s="6" t="n">
        <v>350.2</v>
      </c>
      <c r="E36" s="6" t="n">
        <v>5048</v>
      </c>
      <c r="F36" s="6">
        <f>D36*E36</f>
        <v/>
      </c>
    </row>
    <row r="37">
      <c r="A37" s="5" t="inlineStr">
        <is>
          <t>6</t>
        </is>
      </c>
      <c r="B37" s="5" t="inlineStr">
        <is>
          <t>Enduits intérieurs</t>
        </is>
      </c>
      <c r="C37" s="5" t="inlineStr">
        <is>
          <t>m²</t>
        </is>
      </c>
      <c r="D37" s="6" t="n">
        <v>402.4</v>
      </c>
      <c r="E37" s="6" t="n">
        <v>1500</v>
      </c>
      <c r="F37" s="6">
        <f>D37*E37</f>
        <v/>
      </c>
    </row>
    <row r="38">
      <c r="A38" s="5" t="inlineStr">
        <is>
          <t>7</t>
        </is>
      </c>
      <c r="B38" s="5" t="inlineStr">
        <is>
          <t>Enduits extérieurs</t>
        </is>
      </c>
      <c r="C38" s="5" t="inlineStr">
        <is>
          <t>m²</t>
        </is>
      </c>
      <c r="D38" s="6" t="n">
        <v>229.5</v>
      </c>
      <c r="E38" s="6" t="n">
        <v>1500</v>
      </c>
      <c r="F38" s="6">
        <f>D38*E38</f>
        <v/>
      </c>
    </row>
    <row r="39">
      <c r="A39" s="5" t="inlineStr">
        <is>
          <t>8</t>
        </is>
      </c>
      <c r="B39" s="5" t="inlineStr">
        <is>
          <t>Enduits sous face</t>
        </is>
      </c>
      <c r="C39" s="5" t="inlineStr">
        <is>
          <t>m²</t>
        </is>
      </c>
      <c r="D39" s="6" t="n">
        <v>150.3</v>
      </c>
      <c r="E39" s="6" t="n">
        <v>1500</v>
      </c>
      <c r="F39" s="6">
        <f>D39*E39</f>
        <v/>
      </c>
    </row>
    <row r="40">
      <c r="A40" s="5" t="inlineStr">
        <is>
          <t>9</t>
        </is>
      </c>
      <c r="B40" s="5" t="inlineStr">
        <is>
          <t>Scellement et calfeutrement des huisseries</t>
        </is>
      </c>
      <c r="C40" s="5" t="inlineStr">
        <is>
          <t>ml</t>
        </is>
      </c>
      <c r="D40" s="6" t="n">
        <v>91.90000000000001</v>
      </c>
      <c r="E40" s="6" t="n">
        <v>500</v>
      </c>
      <c r="F40" s="6">
        <f>D40*E40</f>
        <v/>
      </c>
    </row>
    <row r="41">
      <c r="A41" s="5" t="inlineStr">
        <is>
          <t>10</t>
        </is>
      </c>
      <c r="B41" s="5" t="inlineStr">
        <is>
          <t>Dressement des tableaux</t>
        </is>
      </c>
      <c r="C41" s="5" t="inlineStr">
        <is>
          <t>ml</t>
        </is>
      </c>
      <c r="D41" s="6" t="n">
        <v>91.90000000000001</v>
      </c>
      <c r="E41" s="6" t="n">
        <v>500</v>
      </c>
      <c r="F41" s="6">
        <f>D41*E41</f>
        <v/>
      </c>
    </row>
    <row r="42">
      <c r="A42" s="7" t="n"/>
      <c r="B42" s="7" t="inlineStr">
        <is>
          <t>Sous-total Étage</t>
        </is>
      </c>
      <c r="C42" s="7" t="n"/>
      <c r="D42" s="7" t="n"/>
      <c r="E42" s="7" t="n"/>
      <c r="F42" s="8">
        <f>SUM(F32:F41)</f>
        <v/>
      </c>
    </row>
    <row r="43">
      <c r="A43" s="4" t="n"/>
      <c r="B43" s="4" t="inlineStr">
        <is>
          <t>IV — TERRASSE</t>
        </is>
      </c>
      <c r="C43" s="4" t="n"/>
      <c r="D43" s="4" t="n"/>
      <c r="E43" s="4" t="n"/>
      <c r="F43" s="4" t="n"/>
    </row>
    <row r="44">
      <c r="A44" s="5" t="inlineStr">
        <is>
          <t>1</t>
        </is>
      </c>
      <c r="B44" s="5" t="inlineStr">
        <is>
          <t>Béton dosé à 350 kg/m³ pour poteaux</t>
        </is>
      </c>
      <c r="C44" s="5" t="inlineStr">
        <is>
          <t>m³</t>
        </is>
      </c>
      <c r="D44" s="6" t="n">
        <v>1.4</v>
      </c>
      <c r="E44" s="6" t="n">
        <v>125000</v>
      </c>
      <c r="F44" s="6">
        <f>D44*E44</f>
        <v/>
      </c>
    </row>
    <row r="45">
      <c r="A45" s="5" t="inlineStr">
        <is>
          <t>2</t>
        </is>
      </c>
      <c r="B45" s="5" t="inlineStr">
        <is>
          <t>Béton dosé à 350 kg/m³ pour chaînage de couronnement sur acrotère</t>
        </is>
      </c>
      <c r="C45" s="5" t="inlineStr">
        <is>
          <t>m³</t>
        </is>
      </c>
      <c r="D45" s="6" t="n">
        <v>1.2</v>
      </c>
      <c r="E45" s="6" t="n">
        <v>125000</v>
      </c>
      <c r="F45" s="6">
        <f>D45*E45</f>
        <v/>
      </c>
    </row>
    <row r="46">
      <c r="A46" s="5" t="inlineStr">
        <is>
          <t>3</t>
        </is>
      </c>
      <c r="B46" s="5" t="inlineStr">
        <is>
          <t>Maçonnerie d'agglos creux de 15 cm</t>
        </is>
      </c>
      <c r="C46" s="5" t="inlineStr">
        <is>
          <t>m²</t>
        </is>
      </c>
      <c r="D46" s="6" t="n">
        <v>86.40000000000001</v>
      </c>
      <c r="E46" s="6" t="n">
        <v>5048</v>
      </c>
      <c r="F46" s="6">
        <f>D46*E46</f>
        <v/>
      </c>
    </row>
    <row r="47">
      <c r="A47" s="5" t="inlineStr">
        <is>
          <t>4</t>
        </is>
      </c>
      <c r="B47" s="5" t="inlineStr">
        <is>
          <t>Enduits intérieurs</t>
        </is>
      </c>
      <c r="C47" s="5" t="inlineStr">
        <is>
          <t>m²</t>
        </is>
      </c>
      <c r="D47" s="6" t="n">
        <v>86.40000000000001</v>
      </c>
      <c r="E47" s="6" t="n">
        <v>1500</v>
      </c>
      <c r="F47" s="6">
        <f>D47*E47</f>
        <v/>
      </c>
    </row>
    <row r="48">
      <c r="A48" s="5" t="inlineStr">
        <is>
          <t>5</t>
        </is>
      </c>
      <c r="B48" s="5" t="inlineStr">
        <is>
          <t>Enduits extérieurs</t>
        </is>
      </c>
      <c r="C48" s="5" t="inlineStr">
        <is>
          <t>m²</t>
        </is>
      </c>
      <c r="D48" s="6" t="n">
        <v>86.40000000000001</v>
      </c>
      <c r="E48" s="6" t="n">
        <v>1500</v>
      </c>
      <c r="F48" s="6">
        <f>D48*E48</f>
        <v/>
      </c>
    </row>
    <row r="49">
      <c r="A49" s="5" t="inlineStr">
        <is>
          <t>6</t>
        </is>
      </c>
      <c r="B49" s="5" t="inlineStr">
        <is>
          <t>Forme de pente sur terrasse accessible</t>
        </is>
      </c>
      <c r="C49" s="5" t="inlineStr">
        <is>
          <t>m²</t>
        </is>
      </c>
      <c r="D49" s="6" t="n">
        <v>125.4</v>
      </c>
      <c r="E49" s="6" t="n">
        <v>3025</v>
      </c>
      <c r="F49" s="6">
        <f>D49*E49</f>
        <v/>
      </c>
    </row>
    <row r="50">
      <c r="A50" s="7" t="n"/>
      <c r="B50" s="7" t="inlineStr">
        <is>
          <t>Sous-total Terrasse</t>
        </is>
      </c>
      <c r="C50" s="7" t="n"/>
      <c r="D50" s="7" t="n"/>
      <c r="E50" s="7" t="n"/>
      <c r="F50" s="8">
        <f>SUM(F44:F49)</f>
        <v/>
      </c>
    </row>
    <row r="51">
      <c r="A51" s="9" t="n"/>
      <c r="B51" s="9" t="inlineStr">
        <is>
          <t>TOTAL GROS ŒUVRE</t>
        </is>
      </c>
      <c r="C51" s="9" t="n"/>
      <c r="D51" s="9" t="n"/>
      <c r="E51" s="9" t="n"/>
      <c r="F51" s="10">
        <f>F11+F19+F30+F42+F50</f>
        <v/>
      </c>
    </row>
    <row r="52">
      <c r="A52" s="2" t="n"/>
      <c r="B52" s="2" t="n"/>
      <c r="C52" s="2" t="n"/>
      <c r="D52" s="2" t="n"/>
      <c r="E52" s="2" t="n"/>
      <c r="F52" s="2" t="n"/>
    </row>
    <row r="53">
      <c r="A53" s="4" t="n"/>
      <c r="B53" s="4" t="inlineStr">
        <is>
          <t>SECOND ŒUVRE — MONTANTS DU DOCUMENT SOURCE</t>
        </is>
      </c>
      <c r="C53" s="4" t="n"/>
      <c r="D53" s="4" t="n"/>
      <c r="E53" s="4" t="n"/>
      <c r="F53" s="4" t="n"/>
    </row>
    <row r="54">
      <c r="A54" s="5" t="inlineStr"/>
      <c r="B54" s="5" t="inlineStr">
        <is>
          <t>TOTAL MENUISERIES</t>
        </is>
      </c>
      <c r="C54" s="5" t="inlineStr">
        <is>
          <t>forfait</t>
        </is>
      </c>
      <c r="D54" s="6" t="n">
        <v>1</v>
      </c>
      <c r="E54" s="6" t="n">
        <v>1966500</v>
      </c>
      <c r="F54" s="6">
        <f>D54*E54</f>
        <v/>
      </c>
    </row>
    <row r="55">
      <c r="A55" s="5" t="inlineStr"/>
      <c r="B55" s="5" t="inlineStr">
        <is>
          <t>TOTAL PLOMBERIE SANITAIRE</t>
        </is>
      </c>
      <c r="C55" s="5" t="inlineStr">
        <is>
          <t>forfait</t>
        </is>
      </c>
      <c r="D55" s="6" t="n">
        <v>1</v>
      </c>
      <c r="E55" s="6" t="n">
        <v>2362000</v>
      </c>
      <c r="F55" s="6">
        <f>D55*E55</f>
        <v/>
      </c>
    </row>
    <row r="56">
      <c r="A56" s="5" t="inlineStr"/>
      <c r="B56" s="5" t="inlineStr">
        <is>
          <t>TOTAL ELECTRICITE</t>
        </is>
      </c>
      <c r="C56" s="5" t="inlineStr">
        <is>
          <t>forfait</t>
        </is>
      </c>
      <c r="D56" s="6" t="n">
        <v>1</v>
      </c>
      <c r="E56" s="6" t="n">
        <v>1217000</v>
      </c>
      <c r="F56" s="6">
        <f>D56*E56</f>
        <v/>
      </c>
    </row>
    <row r="57">
      <c r="A57" s="5" t="inlineStr"/>
      <c r="B57" s="5" t="inlineStr">
        <is>
          <t>TOTAL REVÊTEMENT - CARRELAGE</t>
        </is>
      </c>
      <c r="C57" s="5" t="inlineStr">
        <is>
          <t>forfait</t>
        </is>
      </c>
      <c r="D57" s="6" t="n">
        <v>1</v>
      </c>
      <c r="E57" s="6" t="n">
        <v>2691950</v>
      </c>
      <c r="F57" s="6">
        <f>D57*E57</f>
        <v/>
      </c>
    </row>
    <row r="58">
      <c r="A58" s="5" t="inlineStr"/>
      <c r="B58" s="5" t="inlineStr">
        <is>
          <t>TOTAL PEINTURE</t>
        </is>
      </c>
      <c r="C58" s="5" t="inlineStr">
        <is>
          <t>forfait</t>
        </is>
      </c>
      <c r="D58" s="6" t="n">
        <v>1</v>
      </c>
      <c r="E58" s="6" t="n">
        <v>1138680</v>
      </c>
      <c r="F58" s="6">
        <f>D58*E58</f>
        <v/>
      </c>
    </row>
    <row r="59">
      <c r="A59" s="5" t="inlineStr"/>
      <c r="B59" s="5" t="inlineStr">
        <is>
          <t>TOTAL AMÉNAGEMENT EXTÉRIEUR</t>
        </is>
      </c>
      <c r="C59" s="5" t="inlineStr">
        <is>
          <t>forfait</t>
        </is>
      </c>
      <c r="D59" s="6" t="n">
        <v>1</v>
      </c>
      <c r="E59" s="6" t="n">
        <v>805000</v>
      </c>
      <c r="F59" s="6">
        <f>D59*E59</f>
        <v/>
      </c>
    </row>
    <row r="60">
      <c r="A60" s="5" t="inlineStr"/>
      <c r="B60" s="5" t="inlineStr">
        <is>
          <t>TOTAL MENUISERIES ÉTAGE</t>
        </is>
      </c>
      <c r="C60" s="5" t="inlineStr">
        <is>
          <t>forfait</t>
        </is>
      </c>
      <c r="D60" s="6" t="n">
        <v>1</v>
      </c>
      <c r="E60" s="6" t="n">
        <v>2210500</v>
      </c>
      <c r="F60" s="6">
        <f>D60*E60</f>
        <v/>
      </c>
    </row>
    <row r="61">
      <c r="A61" s="5" t="inlineStr"/>
      <c r="B61" s="5" t="inlineStr">
        <is>
          <t>TOTAL PLOMBERIE SANITAIRE ÉTAGE</t>
        </is>
      </c>
      <c r="C61" s="5" t="inlineStr">
        <is>
          <t>forfait</t>
        </is>
      </c>
      <c r="D61" s="6" t="n">
        <v>1</v>
      </c>
      <c r="E61" s="6" t="n">
        <v>2363000</v>
      </c>
      <c r="F61" s="6">
        <f>D61*E61</f>
        <v/>
      </c>
    </row>
    <row r="62">
      <c r="A62" s="5" t="inlineStr"/>
      <c r="B62" s="5" t="inlineStr">
        <is>
          <t>TOTAL ELECTRICITÉ ÉTAGE</t>
        </is>
      </c>
      <c r="C62" s="5" t="inlineStr">
        <is>
          <t>forfait</t>
        </is>
      </c>
      <c r="D62" s="6" t="n">
        <v>1</v>
      </c>
      <c r="E62" s="6" t="n">
        <v>1106500</v>
      </c>
      <c r="F62" s="6">
        <f>D62*E62</f>
        <v/>
      </c>
    </row>
    <row r="63">
      <c r="A63" s="5" t="inlineStr"/>
      <c r="B63" s="5" t="inlineStr">
        <is>
          <t>TOTAL REVÊTEMENT - CARRELAGE ÉTAGE</t>
        </is>
      </c>
      <c r="C63" s="5" t="inlineStr">
        <is>
          <t>forfait</t>
        </is>
      </c>
      <c r="D63" s="6" t="n">
        <v>1</v>
      </c>
      <c r="E63" s="6" t="n">
        <v>2738800</v>
      </c>
      <c r="F63" s="6">
        <f>D63*E63</f>
        <v/>
      </c>
    </row>
    <row r="64">
      <c r="A64" s="5" t="inlineStr"/>
      <c r="B64" s="5" t="inlineStr">
        <is>
          <t>TOTAL PEINTURE ÉTAGE</t>
        </is>
      </c>
      <c r="C64" s="5" t="inlineStr">
        <is>
          <t>forfait</t>
        </is>
      </c>
      <c r="D64" s="6" t="n">
        <v>1</v>
      </c>
      <c r="E64" s="6" t="n">
        <v>1138680</v>
      </c>
      <c r="F64" s="6">
        <f>D64*E64</f>
        <v/>
      </c>
    </row>
    <row r="65">
      <c r="A65" s="5" t="inlineStr"/>
      <c r="B65" s="5" t="inlineStr">
        <is>
          <t>TOTAL ÉTANCHÉITÉ TERRASSE</t>
        </is>
      </c>
      <c r="C65" s="5" t="inlineStr">
        <is>
          <t>forfait</t>
        </is>
      </c>
      <c r="D65" s="6" t="n">
        <v>1</v>
      </c>
      <c r="E65" s="6" t="n">
        <v>2538000</v>
      </c>
      <c r="F65" s="6">
        <f>D65*E65</f>
        <v/>
      </c>
    </row>
    <row r="66">
      <c r="A66" s="5" t="inlineStr"/>
      <c r="B66" s="5" t="inlineStr">
        <is>
          <t>TOTAL MENUISERIE TERRASSE</t>
        </is>
      </c>
      <c r="C66" s="5" t="inlineStr">
        <is>
          <t>forfait</t>
        </is>
      </c>
      <c r="D66" s="6" t="n">
        <v>1</v>
      </c>
      <c r="E66" s="6" t="n">
        <v>90000</v>
      </c>
      <c r="F66" s="6">
        <f>D66*E66</f>
        <v/>
      </c>
    </row>
    <row r="67">
      <c r="A67" s="5" t="inlineStr"/>
      <c r="B67" s="5" t="inlineStr">
        <is>
          <t>TOTAL PLOMBERIE SANITAIRE TERRASSE</t>
        </is>
      </c>
      <c r="C67" s="5" t="inlineStr">
        <is>
          <t>forfait</t>
        </is>
      </c>
      <c r="D67" s="6" t="n">
        <v>1</v>
      </c>
      <c r="E67" s="6" t="n">
        <v>180000</v>
      </c>
      <c r="F67" s="6">
        <f>D67*E67</f>
        <v/>
      </c>
    </row>
    <row r="68">
      <c r="A68" s="5" t="inlineStr"/>
      <c r="B68" s="5" t="inlineStr">
        <is>
          <t>TOTAL ÉLECTRICITÉ TERRASSE</t>
        </is>
      </c>
      <c r="C68" s="5" t="inlineStr">
        <is>
          <t>forfait</t>
        </is>
      </c>
      <c r="D68" s="6" t="n">
        <v>1</v>
      </c>
      <c r="E68" s="6" t="n">
        <v>56000</v>
      </c>
      <c r="F68" s="6">
        <f>D68*E68</f>
        <v/>
      </c>
    </row>
    <row r="69">
      <c r="A69" s="5" t="inlineStr"/>
      <c r="B69" s="5" t="inlineStr">
        <is>
          <t>TOTAL PEINTURE TERRASSE</t>
        </is>
      </c>
      <c r="C69" s="5" t="inlineStr">
        <is>
          <t>forfait</t>
        </is>
      </c>
      <c r="D69" s="6" t="n">
        <v>1</v>
      </c>
      <c r="E69" s="6" t="n">
        <v>266500</v>
      </c>
      <c r="F69" s="6">
        <f>D69*E69</f>
        <v/>
      </c>
    </row>
    <row r="70">
      <c r="A70" s="9" t="n"/>
      <c r="B70" s="9" t="inlineStr">
        <is>
          <t>TOTAL SECOND ŒUVRE</t>
        </is>
      </c>
      <c r="C70" s="9" t="n"/>
      <c r="D70" s="9" t="n"/>
      <c r="E70" s="9" t="n"/>
      <c r="F70" s="10">
        <f>SUM(F54,F55,F56,F57,F58,F59,F60,F61,F62,F63,F64,F65,F66,F67,F68,F69)</f>
        <v/>
      </c>
    </row>
    <row r="71">
      <c r="A71" s="9" t="n"/>
      <c r="B71" s="9" t="inlineStr">
        <is>
          <t>MONTANT TOTAL PROJET HT</t>
        </is>
      </c>
      <c r="C71" s="9" t="n"/>
      <c r="D71" s="9" t="n"/>
      <c r="E71" s="9" t="n"/>
      <c r="F71" s="10">
        <f>F51+F70</f>
        <v/>
      </c>
    </row>
    <row r="72">
      <c r="A72" s="9" t="n"/>
      <c r="B72" s="9" t="inlineStr">
        <is>
          <t>TVA (18%)</t>
        </is>
      </c>
      <c r="C72" s="9" t="n"/>
      <c r="D72" s="9" t="n"/>
      <c r="E72" s="9" t="n"/>
      <c r="F72" s="10">
        <f>F71*18%</f>
        <v/>
      </c>
    </row>
    <row r="73">
      <c r="A73" s="9" t="n"/>
      <c r="B73" s="9" t="inlineStr">
        <is>
          <t>MONTANT TOTAL PROJET TTC</t>
        </is>
      </c>
      <c r="C73" s="9" t="n"/>
      <c r="D73" s="9" t="n"/>
      <c r="E73" s="9" t="n"/>
      <c r="F73" s="10">
        <f>F71+F72</f>
        <v/>
      </c>
    </row>
    <row r="74">
      <c r="A74" s="9" t="n"/>
      <c r="B74" s="9" t="inlineStr">
        <is>
          <t>NET À PAYER</t>
        </is>
      </c>
      <c r="C74" s="9" t="n"/>
      <c r="D74" s="9" t="n"/>
      <c r="E74" s="9" t="n"/>
      <c r="F74" s="10">
        <f>F73</f>
        <v/>
      </c>
    </row>
    <row r="75">
      <c r="A75" s="2" t="n"/>
      <c r="B75" s="2" t="n"/>
      <c r="C75" s="2" t="n"/>
      <c r="D75" s="2" t="n"/>
      <c r="E75" s="2" t="n"/>
      <c r="F75" s="2" t="n"/>
    </row>
    <row r="76">
      <c r="A76" s="2" t="n"/>
      <c r="B76" s="2" t="inlineStr">
        <is>
          <t>Nota : les montants des catégories du second œuvre sont ceux indiqués dans le PDF; les lignes ont été rendues calculables par formule.</t>
        </is>
      </c>
      <c r="C76" s="2" t="n"/>
      <c r="D76" s="2" t="n"/>
      <c r="E76" s="2" t="n"/>
      <c r="F76" s="2" t="n"/>
    </row>
  </sheetData>
  <mergeCells count="2">
    <mergeCell ref="B76:F76"/>
    <mergeCell ref="A1:F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2" customWidth="1" min="3" max="3"/>
    <col width="14" customWidth="1" min="4" max="4"/>
    <col width="18" customWidth="1" min="5" max="5"/>
    <col width="18" customWidth="1" min="6" max="6"/>
  </cols>
  <sheetData>
    <row r="1">
      <c r="A1" s="1" t="inlineStr">
        <is>
          <t>DEVIS QUANTITATIF &amp; ESTIMATIF — VILLA TYPE F4 — GROS ŒUVRE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N°</t>
        </is>
      </c>
      <c r="B3" s="3" t="inlineStr">
        <is>
          <t>DÉSIGNATION</t>
        </is>
      </c>
      <c r="C3" s="3" t="inlineStr">
        <is>
          <t>UNITÉ</t>
        </is>
      </c>
      <c r="D3" s="3" t="inlineStr">
        <is>
          <t>QUANTITÉ</t>
        </is>
      </c>
      <c r="E3" s="3" t="inlineStr">
        <is>
          <t>PRIX UNITAIRE</t>
        </is>
      </c>
      <c r="F3" s="3" t="inlineStr">
        <is>
          <t>PRIX TOTAL</t>
        </is>
      </c>
    </row>
    <row r="4">
      <c r="A4" s="4" t="n"/>
      <c r="B4" s="4" t="inlineStr">
        <is>
          <t>A — TERRASSEMENTS &amp; PRÉPARATION DU CHANTIER</t>
        </is>
      </c>
      <c r="C4" s="4" t="n"/>
      <c r="D4" s="4" t="n"/>
      <c r="E4" s="4" t="n"/>
      <c r="F4" s="4" t="n"/>
    </row>
    <row r="5">
      <c r="A5" s="5" t="inlineStr">
        <is>
          <t>1</t>
        </is>
      </c>
      <c r="B5" s="5" t="inlineStr">
        <is>
          <t>Amenée et repli de matériel</t>
        </is>
      </c>
      <c r="C5" s="5" t="inlineStr">
        <is>
          <t>Ens</t>
        </is>
      </c>
      <c r="D5" s="6" t="n">
        <v>1</v>
      </c>
      <c r="E5" s="6" t="n">
        <v>200000</v>
      </c>
      <c r="F5" s="6">
        <f>D5*E5</f>
        <v/>
      </c>
    </row>
    <row r="6">
      <c r="A6" s="5" t="inlineStr">
        <is>
          <t>2</t>
        </is>
      </c>
      <c r="B6" s="5" t="inlineStr">
        <is>
          <t>Fouilles en puit pour semelles isolées</t>
        </is>
      </c>
      <c r="C6" s="5" t="inlineStr">
        <is>
          <t>m³</t>
        </is>
      </c>
      <c r="D6" s="6" t="n">
        <v>74.2</v>
      </c>
      <c r="E6" s="6" t="n">
        <v>1886</v>
      </c>
      <c r="F6" s="6">
        <f>D6*E6</f>
        <v/>
      </c>
    </row>
    <row r="7">
      <c r="A7" s="5" t="inlineStr">
        <is>
          <t>3</t>
        </is>
      </c>
      <c r="B7" s="5" t="inlineStr">
        <is>
          <t>Fouilles en tranchée pour longrines</t>
        </is>
      </c>
      <c r="C7" s="5" t="inlineStr">
        <is>
          <t>m³</t>
        </is>
      </c>
      <c r="D7" s="6" t="n">
        <v>41.3</v>
      </c>
      <c r="E7" s="6" t="n">
        <v>1162</v>
      </c>
      <c r="F7" s="6">
        <f>D7*E7</f>
        <v/>
      </c>
    </row>
    <row r="8">
      <c r="A8" s="5" t="inlineStr">
        <is>
          <t>4</t>
        </is>
      </c>
      <c r="B8" s="5" t="inlineStr">
        <is>
          <t>Remblais sous dallage</t>
        </is>
      </c>
      <c r="C8" s="5" t="inlineStr">
        <is>
          <t>m³</t>
        </is>
      </c>
      <c r="D8" s="6" t="n">
        <v>90</v>
      </c>
      <c r="E8" s="6" t="n">
        <v>1200</v>
      </c>
      <c r="F8" s="6">
        <f>D8*E8</f>
        <v/>
      </c>
    </row>
    <row r="9">
      <c r="A9" s="5" t="inlineStr">
        <is>
          <t>5</t>
        </is>
      </c>
      <c r="B9" s="5" t="inlineStr">
        <is>
          <t>Remblais au droit des fondations avec terres extraites des fouilles</t>
        </is>
      </c>
      <c r="C9" s="5" t="inlineStr">
        <is>
          <t>m³</t>
        </is>
      </c>
      <c r="D9" s="6" t="n">
        <v>71.90000000000001</v>
      </c>
      <c r="E9" s="6" t="n">
        <v>1505</v>
      </c>
      <c r="F9" s="6">
        <f>D9*E9</f>
        <v/>
      </c>
    </row>
    <row r="10">
      <c r="A10" s="5" t="inlineStr">
        <is>
          <t>6</t>
        </is>
      </c>
      <c r="B10" s="5" t="inlineStr">
        <is>
          <t>Évacuation des déblais</t>
        </is>
      </c>
      <c r="C10" s="5" t="inlineStr">
        <is>
          <t>m³</t>
        </is>
      </c>
      <c r="D10" s="6" t="n">
        <v>43.8</v>
      </c>
      <c r="E10" s="6" t="n">
        <v>1500</v>
      </c>
      <c r="F10" s="6">
        <f>D10*E10</f>
        <v/>
      </c>
    </row>
    <row r="11">
      <c r="A11" s="7" t="n"/>
      <c r="B11" s="7" t="inlineStr">
        <is>
          <t>Sous-total Terrassements &amp; préparation</t>
        </is>
      </c>
      <c r="C11" s="7" t="n"/>
      <c r="D11" s="7" t="n"/>
      <c r="E11" s="7" t="n"/>
      <c r="F11" s="8">
        <f>SUM(F5:F10)</f>
        <v/>
      </c>
    </row>
    <row r="12">
      <c r="A12" s="4" t="n"/>
      <c r="B12" s="4" t="inlineStr">
        <is>
          <t>I — FONDATION</t>
        </is>
      </c>
      <c r="C12" s="4" t="n"/>
      <c r="D12" s="4" t="n"/>
      <c r="E12" s="4" t="n"/>
      <c r="F12" s="4" t="n"/>
    </row>
    <row r="13">
      <c r="A13" s="5" t="inlineStr">
        <is>
          <t>1</t>
        </is>
      </c>
      <c r="B13" s="5" t="inlineStr">
        <is>
          <t>Béton de propreté Ep=5 cm</t>
        </is>
      </c>
      <c r="C13" s="5" t="inlineStr">
        <is>
          <t>m³</t>
        </is>
      </c>
      <c r="D13" s="6" t="n">
        <v>6.9</v>
      </c>
      <c r="E13" s="6" t="n">
        <v>65000</v>
      </c>
      <c r="F13" s="6">
        <f>D13*E13</f>
        <v/>
      </c>
    </row>
    <row r="14">
      <c r="A14" s="5" t="inlineStr">
        <is>
          <t>2</t>
        </is>
      </c>
      <c r="B14" s="5" t="inlineStr">
        <is>
          <t>Béton dosé à 350 kg/m³ pour semelles</t>
        </is>
      </c>
      <c r="C14" s="5" t="inlineStr">
        <is>
          <t>m³</t>
        </is>
      </c>
      <c r="D14" s="6" t="n">
        <v>12.3</v>
      </c>
      <c r="E14" s="6" t="n">
        <v>125000</v>
      </c>
      <c r="F14" s="6">
        <f>D14*E14</f>
        <v/>
      </c>
    </row>
    <row r="15">
      <c r="A15" s="5" t="inlineStr">
        <is>
          <t>3</t>
        </is>
      </c>
      <c r="B15" s="5" t="inlineStr">
        <is>
          <t>Béton dosé à 350 kg/m³ pour longrines</t>
        </is>
      </c>
      <c r="C15" s="5" t="inlineStr">
        <is>
          <t>m³</t>
        </is>
      </c>
      <c r="D15" s="6" t="n">
        <v>3.9</v>
      </c>
      <c r="E15" s="6" t="n">
        <v>125000</v>
      </c>
      <c r="F15" s="6">
        <f>D15*E15</f>
        <v/>
      </c>
    </row>
    <row r="16">
      <c r="A16" s="5" t="inlineStr">
        <is>
          <t>4</t>
        </is>
      </c>
      <c r="B16" s="5" t="inlineStr">
        <is>
          <t>Béton dosé à 350 kg/m³ pour amorce poteaux</t>
        </is>
      </c>
      <c r="C16" s="5" t="inlineStr">
        <is>
          <t>m³</t>
        </is>
      </c>
      <c r="D16" s="6" t="n">
        <v>1.1</v>
      </c>
      <c r="E16" s="6" t="n">
        <v>125000</v>
      </c>
      <c r="F16" s="6">
        <f>D16*E16</f>
        <v/>
      </c>
    </row>
    <row r="17">
      <c r="A17" s="5" t="inlineStr">
        <is>
          <t>5</t>
        </is>
      </c>
      <c r="B17" s="5" t="inlineStr">
        <is>
          <t>Béton dosé à 300 kg/m³ pour dallage sol</t>
        </is>
      </c>
      <c r="C17" s="5" t="inlineStr">
        <is>
          <t>m³</t>
        </is>
      </c>
      <c r="D17" s="6" t="n">
        <v>18</v>
      </c>
      <c r="E17" s="6" t="n">
        <v>80000</v>
      </c>
      <c r="F17" s="6">
        <f>D17*E17</f>
        <v/>
      </c>
    </row>
    <row r="18">
      <c r="A18" s="5" t="inlineStr">
        <is>
          <t>6</t>
        </is>
      </c>
      <c r="B18" s="5" t="inlineStr">
        <is>
          <t>Mur de soubassement en agglos pleins de 15</t>
        </is>
      </c>
      <c r="C18" s="5" t="inlineStr">
        <is>
          <t>m²</t>
        </is>
      </c>
      <c r="D18" s="6" t="n">
        <v>84.2</v>
      </c>
      <c r="E18" s="6" t="n">
        <v>6045</v>
      </c>
      <c r="F18" s="6">
        <f>D18*E18</f>
        <v/>
      </c>
    </row>
    <row r="19">
      <c r="A19" s="7" t="n"/>
      <c r="B19" s="7" t="inlineStr">
        <is>
          <t>Sous-total Fondation</t>
        </is>
      </c>
      <c r="C19" s="7" t="n"/>
      <c r="D19" s="7" t="n"/>
      <c r="E19" s="7" t="n"/>
      <c r="F19" s="8">
        <f>SUM(F13:F18)</f>
        <v/>
      </c>
    </row>
    <row r="20">
      <c r="A20" s="4" t="n"/>
      <c r="B20" s="4" t="inlineStr">
        <is>
          <t>II — RDC</t>
        </is>
      </c>
      <c r="C20" s="4" t="n"/>
      <c r="D20" s="4" t="n"/>
      <c r="E20" s="4" t="n"/>
      <c r="F20" s="4" t="n"/>
    </row>
    <row r="21">
      <c r="A21" s="5" t="inlineStr">
        <is>
          <t>1</t>
        </is>
      </c>
      <c r="B21" s="5" t="inlineStr">
        <is>
          <t>Béton dosé à 350 kg/m³ pour poteaux et poteaux</t>
        </is>
      </c>
      <c r="C21" s="5" t="inlineStr">
        <is>
          <t>m³</t>
        </is>
      </c>
      <c r="D21" s="6" t="n">
        <v>4.2</v>
      </c>
      <c r="E21" s="6" t="n">
        <v>125000</v>
      </c>
      <c r="F21" s="6">
        <f>D21*E21</f>
        <v/>
      </c>
    </row>
    <row r="22">
      <c r="A22" s="5" t="inlineStr">
        <is>
          <t>2</t>
        </is>
      </c>
      <c r="B22" s="5" t="inlineStr">
        <is>
          <t>Béton dosé à 350 kg/m³ pour linteaux et appuis</t>
        </is>
      </c>
      <c r="C22" s="5" t="inlineStr">
        <is>
          <t>m³</t>
        </is>
      </c>
      <c r="D22" s="6" t="n">
        <v>0.5</v>
      </c>
      <c r="E22" s="6" t="n">
        <v>125000</v>
      </c>
      <c r="F22" s="6">
        <f>D22*E22</f>
        <v/>
      </c>
    </row>
    <row r="23">
      <c r="A23" s="5" t="inlineStr">
        <is>
          <t>3</t>
        </is>
      </c>
      <c r="B23" s="5" t="inlineStr">
        <is>
          <t>Plancher hourdis 12+4</t>
        </is>
      </c>
      <c r="C23" s="5" t="inlineStr">
        <is>
          <t>m²</t>
        </is>
      </c>
      <c r="D23" s="6" t="n">
        <v>75</v>
      </c>
      <c r="E23" s="6" t="n">
        <v>9500</v>
      </c>
      <c r="F23" s="6">
        <f>D23*E23</f>
        <v/>
      </c>
    </row>
    <row r="24">
      <c r="A24" s="5" t="inlineStr">
        <is>
          <t>4</t>
        </is>
      </c>
      <c r="B24" s="5" t="inlineStr">
        <is>
          <t>Plancher hourdis 16+4</t>
        </is>
      </c>
      <c r="C24" s="5" t="inlineStr">
        <is>
          <t>m²</t>
        </is>
      </c>
      <c r="D24" s="6" t="n">
        <v>16.4</v>
      </c>
      <c r="E24" s="6" t="n">
        <v>11500</v>
      </c>
      <c r="F24" s="6">
        <f>D24*E24</f>
        <v/>
      </c>
    </row>
    <row r="25">
      <c r="A25" s="5" t="inlineStr">
        <is>
          <t>5</t>
        </is>
      </c>
      <c r="B25" s="5" t="inlineStr">
        <is>
          <t>Maçonnerie d'agglos creux de 15 cm</t>
        </is>
      </c>
      <c r="C25" s="5" t="inlineStr">
        <is>
          <t>m²</t>
        </is>
      </c>
      <c r="D25" s="6" t="n">
        <v>195.3</v>
      </c>
      <c r="E25" s="6" t="n">
        <v>5048</v>
      </c>
      <c r="F25" s="6">
        <f>D25*E25</f>
        <v/>
      </c>
    </row>
    <row r="26">
      <c r="A26" s="5" t="inlineStr">
        <is>
          <t>6</t>
        </is>
      </c>
      <c r="B26" s="5" t="inlineStr">
        <is>
          <t>Enduits intérieurs</t>
        </is>
      </c>
      <c r="C26" s="5" t="inlineStr">
        <is>
          <t>m²</t>
        </is>
      </c>
      <c r="D26" s="6" t="n">
        <v>410</v>
      </c>
      <c r="E26" s="6" t="n">
        <v>1500</v>
      </c>
      <c r="F26" s="6">
        <f>D26*E26</f>
        <v/>
      </c>
    </row>
    <row r="27">
      <c r="A27" s="5" t="inlineStr">
        <is>
          <t>7</t>
        </is>
      </c>
      <c r="B27" s="5" t="inlineStr">
        <is>
          <t>Enduits extérieurs</t>
        </is>
      </c>
      <c r="C27" s="5" t="inlineStr">
        <is>
          <t>m²</t>
        </is>
      </c>
      <c r="D27" s="6" t="n">
        <v>185</v>
      </c>
      <c r="E27" s="6" t="n">
        <v>1500</v>
      </c>
      <c r="F27" s="6">
        <f>D27*E27</f>
        <v/>
      </c>
    </row>
    <row r="28">
      <c r="A28" s="5" t="inlineStr">
        <is>
          <t>8</t>
        </is>
      </c>
      <c r="B28" s="5" t="inlineStr">
        <is>
          <t>Enduits sous face</t>
        </is>
      </c>
      <c r="C28" s="5" t="inlineStr">
        <is>
          <t>m²</t>
        </is>
      </c>
      <c r="D28" s="6" t="n">
        <v>91.40000000000001</v>
      </c>
      <c r="E28" s="6" t="n">
        <v>1500</v>
      </c>
      <c r="F28" s="6">
        <f>D28*E28</f>
        <v/>
      </c>
    </row>
    <row r="29">
      <c r="A29" s="5" t="inlineStr">
        <is>
          <t>9</t>
        </is>
      </c>
      <c r="B29" s="5" t="inlineStr">
        <is>
          <t>Scellement et calfeutrement des huisseries</t>
        </is>
      </c>
      <c r="C29" s="5" t="inlineStr">
        <is>
          <t>ml</t>
        </is>
      </c>
      <c r="D29" s="6" t="n">
        <v>25.6</v>
      </c>
      <c r="E29" s="6" t="n">
        <v>500</v>
      </c>
      <c r="F29" s="6">
        <f>D29*E29</f>
        <v/>
      </c>
    </row>
    <row r="30">
      <c r="A30" s="5" t="inlineStr">
        <is>
          <t>10</t>
        </is>
      </c>
      <c r="B30" s="5" t="inlineStr">
        <is>
          <t>Dressement des tableaux</t>
        </is>
      </c>
      <c r="C30" s="5" t="inlineStr">
        <is>
          <t>ml</t>
        </is>
      </c>
      <c r="D30" s="6" t="n">
        <v>25.6</v>
      </c>
      <c r="E30" s="6" t="n">
        <v>500</v>
      </c>
      <c r="F30" s="6">
        <f>D30*E30</f>
        <v/>
      </c>
    </row>
    <row r="31">
      <c r="A31" s="7" t="n"/>
      <c r="B31" s="7" t="inlineStr">
        <is>
          <t>Sous-total RDC</t>
        </is>
      </c>
      <c r="C31" s="7" t="n"/>
      <c r="D31" s="7" t="n"/>
      <c r="E31" s="7" t="n"/>
      <c r="F31" s="8">
        <f>SUM(F21:F30)</f>
        <v/>
      </c>
    </row>
    <row r="32">
      <c r="A32" s="4" t="n"/>
      <c r="B32" s="4" t="inlineStr">
        <is>
          <t>IV — TERRASSE</t>
        </is>
      </c>
      <c r="C32" s="4" t="n"/>
      <c r="D32" s="4" t="n"/>
      <c r="E32" s="4" t="n"/>
      <c r="F32" s="4" t="n"/>
    </row>
    <row r="33">
      <c r="A33" s="5" t="inlineStr">
        <is>
          <t>1</t>
        </is>
      </c>
      <c r="B33" s="5" t="inlineStr">
        <is>
          <t>Béton dosé à 350 kg/m³ pour poteaux</t>
        </is>
      </c>
      <c r="C33" s="5" t="inlineStr">
        <is>
          <t>m³</t>
        </is>
      </c>
      <c r="D33" s="6" t="n">
        <v>0.4</v>
      </c>
      <c r="E33" s="6" t="n">
        <v>125000</v>
      </c>
      <c r="F33" s="6">
        <f>D33*E33</f>
        <v/>
      </c>
    </row>
    <row r="34">
      <c r="A34" s="5" t="inlineStr">
        <is>
          <t>2</t>
        </is>
      </c>
      <c r="B34" s="5" t="inlineStr">
        <is>
          <t>Béton dosé à 350 kg/m³ pour chaînage de couronnement sur acrotère</t>
        </is>
      </c>
      <c r="C34" s="5" t="inlineStr">
        <is>
          <t>m³</t>
        </is>
      </c>
      <c r="D34" s="6" t="n">
        <v>0.5</v>
      </c>
      <c r="E34" s="6" t="n">
        <v>125000</v>
      </c>
      <c r="F34" s="6">
        <f>D34*E34</f>
        <v/>
      </c>
    </row>
    <row r="35">
      <c r="A35" s="5" t="inlineStr">
        <is>
          <t>3</t>
        </is>
      </c>
      <c r="B35" s="5" t="inlineStr">
        <is>
          <t>Maçonnerie d'agglos creux de 15 cm</t>
        </is>
      </c>
      <c r="C35" s="5" t="inlineStr">
        <is>
          <t>m²</t>
        </is>
      </c>
      <c r="D35" s="6" t="n">
        <v>19.2</v>
      </c>
      <c r="E35" s="6" t="n">
        <v>5048</v>
      </c>
      <c r="F35" s="6">
        <f>D35*E35</f>
        <v/>
      </c>
    </row>
    <row r="36">
      <c r="A36" s="5" t="inlineStr">
        <is>
          <t>4</t>
        </is>
      </c>
      <c r="B36" s="5" t="inlineStr">
        <is>
          <t>Enduits intérieurs</t>
        </is>
      </c>
      <c r="C36" s="5" t="inlineStr">
        <is>
          <t>m²</t>
        </is>
      </c>
      <c r="D36" s="6" t="n">
        <v>19.2</v>
      </c>
      <c r="E36" s="6" t="n">
        <v>1500</v>
      </c>
      <c r="F36" s="6">
        <f>D36*E36</f>
        <v/>
      </c>
    </row>
    <row r="37">
      <c r="A37" s="5" t="inlineStr">
        <is>
          <t>5</t>
        </is>
      </c>
      <c r="B37" s="5" t="inlineStr">
        <is>
          <t>Enduits extérieurs</t>
        </is>
      </c>
      <c r="C37" s="5" t="inlineStr">
        <is>
          <t>m²</t>
        </is>
      </c>
      <c r="D37" s="6" t="n">
        <v>19.2</v>
      </c>
      <c r="E37" s="6" t="n">
        <v>1500</v>
      </c>
      <c r="F37" s="6">
        <f>D37*E37</f>
        <v/>
      </c>
    </row>
    <row r="38">
      <c r="A38" s="5" t="inlineStr">
        <is>
          <t>6</t>
        </is>
      </c>
      <c r="B38" s="5" t="inlineStr">
        <is>
          <t>Forme de pente sur terrasse accessible</t>
        </is>
      </c>
      <c r="C38" s="5" t="inlineStr">
        <is>
          <t>m²</t>
        </is>
      </c>
      <c r="D38" s="6" t="n">
        <v>91.40000000000001</v>
      </c>
      <c r="E38" s="6" t="n">
        <v>3025</v>
      </c>
      <c r="F38" s="6">
        <f>D38*E38</f>
        <v/>
      </c>
    </row>
    <row r="39">
      <c r="A39" s="7" t="n"/>
      <c r="B39" s="7" t="inlineStr">
        <is>
          <t>Sous-total Terrasse</t>
        </is>
      </c>
      <c r="C39" s="7" t="n"/>
      <c r="D39" s="7" t="n"/>
      <c r="E39" s="7" t="n"/>
      <c r="F39" s="8">
        <f>SUM(F33:F38)</f>
        <v/>
      </c>
    </row>
    <row r="40">
      <c r="A40" s="9" t="n"/>
      <c r="B40" s="9" t="inlineStr">
        <is>
          <t>TOTAL GROS ŒUVRE</t>
        </is>
      </c>
      <c r="C40" s="9" t="n"/>
      <c r="D40" s="9" t="n"/>
      <c r="E40" s="9" t="n"/>
      <c r="F40" s="10">
        <f>F11+F19+F31+F39</f>
        <v/>
      </c>
    </row>
    <row r="41">
      <c r="A41" s="9" t="n"/>
      <c r="B41" s="9" t="inlineStr">
        <is>
          <t>MONTANT TOTAL PROJET HT</t>
        </is>
      </c>
      <c r="C41" s="9" t="n"/>
      <c r="D41" s="9" t="n"/>
      <c r="E41" s="9" t="n"/>
      <c r="F41" s="10">
        <f>F40</f>
        <v/>
      </c>
    </row>
    <row r="42">
      <c r="A42" s="9" t="n"/>
      <c r="B42" s="9" t="inlineStr">
        <is>
          <t>TVA (18%)</t>
        </is>
      </c>
      <c r="C42" s="9" t="n"/>
      <c r="D42" s="9" t="n"/>
      <c r="E42" s="9" t="n"/>
      <c r="F42" s="10">
        <f>F41*18%</f>
        <v/>
      </c>
    </row>
    <row r="43">
      <c r="A43" s="9" t="n"/>
      <c r="B43" s="9" t="inlineStr">
        <is>
          <t>MONTANT TOTAL PROJET TTC</t>
        </is>
      </c>
      <c r="C43" s="9" t="n"/>
      <c r="D43" s="9" t="n"/>
      <c r="E43" s="9" t="n"/>
      <c r="F43" s="10">
        <f>F41+F42</f>
        <v/>
      </c>
    </row>
    <row r="44">
      <c r="A44" s="9" t="n"/>
      <c r="B44" s="9" t="inlineStr">
        <is>
          <t>NET À PAYER</t>
        </is>
      </c>
      <c r="C44" s="9" t="n"/>
      <c r="D44" s="9" t="n"/>
      <c r="E44" s="9" t="n"/>
      <c r="F44" s="10">
        <f>F43</f>
        <v/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>
      <c r="A1" s="1" t="inlineStr">
        <is>
          <t>FORMULES AUTOMATIQUES DU FICHIER</t>
        </is>
      </c>
      <c r="B1" s="2" t="n"/>
    </row>
    <row r="2">
      <c r="A2" s="2" t="n"/>
      <c r="B2" s="2" t="n"/>
    </row>
    <row r="3">
      <c r="A3" s="2" t="inlineStr">
        <is>
          <t>Prix total</t>
        </is>
      </c>
      <c r="B3" s="2">
        <f> Quantité × Prix unitaire</f>
        <v/>
      </c>
    </row>
    <row r="4">
      <c r="A4" s="2" t="inlineStr">
        <is>
          <t>Sous-total</t>
        </is>
      </c>
      <c r="B4" s="2">
        <f> SOMME des prix totaux de la section</f>
        <v/>
      </c>
    </row>
    <row r="5">
      <c r="A5" s="2" t="inlineStr">
        <is>
          <t>Total HT</t>
        </is>
      </c>
      <c r="B5" s="2">
        <f> Gros œuvre + Second œuvre</f>
        <v/>
      </c>
    </row>
    <row r="6">
      <c r="A6" s="2" t="inlineStr">
        <is>
          <t>TVA</t>
        </is>
      </c>
      <c r="B6" s="2">
        <f> Total HT × 18%</f>
        <v/>
      </c>
    </row>
    <row r="7">
      <c r="A7" s="2" t="inlineStr">
        <is>
          <t>Total TTC</t>
        </is>
      </c>
      <c r="B7" s="2">
        <f> Total HT + TVA</f>
        <v/>
      </c>
    </row>
    <row r="8">
      <c r="A8" s="2" t="inlineStr">
        <is>
          <t>Net à payer</t>
        </is>
      </c>
      <c r="B8" s="2">
        <f> Total TTC</f>
        <v/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2026-08-26T16:31:34Z</dcterms:created>
  <dcterms:modified xmlns:dcterms="http://purl.org/dc/terms/" xmlns:xsi="http://www.w3.org/2001/XMLSchema-instance" xsi:type="dcterms:W3CDTF">2026-08-26T16:31:34Z</dcterms:modified>
</cp:coreProperties>
</file>