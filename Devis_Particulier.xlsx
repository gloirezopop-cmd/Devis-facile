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<sst xmlns="http://schemas.openxmlformats.org/spreadsheetml/2006/main" count="180" uniqueCount="120">
  <si>
    <t xml:space="preserve">BORDEREAU QUANTITATIF ET ESTIMATIF DES TRAVAUX D'UN BATIMENT</t>
  </si>
  <si>
    <t xml:space="preserve">N°</t>
  </si>
  <si>
    <t xml:space="preserve">DESIGNATION</t>
  </si>
  <si>
    <t xml:space="preserve">Unité</t>
  </si>
  <si>
    <t xml:space="preserve">Qtté</t>
  </si>
  <si>
    <t xml:space="preserve">P.U (USD)</t>
  </si>
  <si>
    <t xml:space="preserve">P.T (USD)</t>
  </si>
  <si>
    <t xml:space="preserve">Installation chantier</t>
  </si>
  <si>
    <t xml:space="preserve">fft</t>
  </si>
  <si>
    <t xml:space="preserve">Déblais</t>
  </si>
  <si>
    <t xml:space="preserve">Tonne</t>
  </si>
  <si>
    <t xml:space="preserve">Remblais</t>
  </si>
  <si>
    <t xml:space="preserve">Sous total 1</t>
  </si>
  <si>
    <t xml:space="preserve">4    FONDATION</t>
  </si>
  <si>
    <t xml:space="preserve">4.1</t>
  </si>
  <si>
    <t xml:space="preserve">Ciment</t>
  </si>
  <si>
    <t xml:space="preserve">Sac</t>
  </si>
  <si>
    <t xml:space="preserve">4.2</t>
  </si>
  <si>
    <t xml:space="preserve">Gravier</t>
  </si>
  <si>
    <t xml:space="preserve">4.3</t>
  </si>
  <si>
    <t xml:space="preserve">Sable</t>
  </si>
  <si>
    <t xml:space="preserve">4.4</t>
  </si>
  <si>
    <t xml:space="preserve">Eau</t>
  </si>
  <si>
    <t xml:space="preserve">Litre</t>
  </si>
  <si>
    <t xml:space="preserve">4.5</t>
  </si>
  <si>
    <t xml:space="preserve">Bois de coffrage</t>
  </si>
  <si>
    <t xml:space="preserve">m³</t>
  </si>
  <si>
    <t xml:space="preserve">4.6</t>
  </si>
  <si>
    <t xml:space="preserve">Clous</t>
  </si>
  <si>
    <t xml:space="preserve">Kg</t>
  </si>
  <si>
    <t xml:space="preserve">4.7</t>
  </si>
  <si>
    <t xml:space="preserve">Armature HA10</t>
  </si>
  <si>
    <t xml:space="preserve">Pièce</t>
  </si>
  <si>
    <t xml:space="preserve">4.8</t>
  </si>
  <si>
    <t xml:space="preserve">Armature HA8</t>
  </si>
  <si>
    <t xml:space="preserve">4.9</t>
  </si>
  <si>
    <t xml:space="preserve">Fil à ligaturer</t>
  </si>
  <si>
    <t xml:space="preserve">4.10</t>
  </si>
  <si>
    <t xml:space="preserve">Moellon</t>
  </si>
  <si>
    <t xml:space="preserve">Sous total 2</t>
  </si>
  <si>
    <t xml:space="preserve">5    ELEVATION</t>
  </si>
  <si>
    <t xml:space="preserve">5.1</t>
  </si>
  <si>
    <t xml:space="preserve">Blocs</t>
  </si>
  <si>
    <t xml:space="preserve">5.2</t>
  </si>
  <si>
    <t xml:space="preserve">sac</t>
  </si>
  <si>
    <t xml:space="preserve">5.3</t>
  </si>
  <si>
    <t xml:space="preserve">5.4</t>
  </si>
  <si>
    <t xml:space="preserve">5.5</t>
  </si>
  <si>
    <t xml:space="preserve">litre</t>
  </si>
  <si>
    <t xml:space="preserve">5.6</t>
  </si>
  <si>
    <t xml:space="preserve">5.7</t>
  </si>
  <si>
    <t xml:space="preserve">kg</t>
  </si>
  <si>
    <t xml:space="preserve">5.8</t>
  </si>
  <si>
    <t xml:space="preserve">5.9</t>
  </si>
  <si>
    <t xml:space="preserve">5.10</t>
  </si>
  <si>
    <t xml:space="preserve">Sous total 3</t>
  </si>
  <si>
    <t xml:space="preserve">6    DALLE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</si>
  <si>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</si>
  <si>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</si>
  <si>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</si>
  <si>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</si>
  <si>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</si>
  <si>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</si>
  <si>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6.7</t>
  </si>
  <si>
    <t xml:space="preserve">6.8</t>
  </si>
  <si>
    <t xml:space="preserve">Sous total 4</t>
  </si>
  <si>
    <t xml:space="preserve">7    FINITION</t>
  </si>
  <si>
    <t xml:space="preserve">7.1</t>
  </si>
  <si>
    <t xml:space="preserve">Carreaux</t>
  </si>
  <si>
    <t xml:space="preserve">Carton</t>
  </si>
  <si>
    <t xml:space="preserve">7.2</t>
  </si>
  <si>
    <t xml:space="preserve">Faïence</t>
  </si>
  <si>
    <t xml:space="preserve">7.3</t>
  </si>
  <si>
    <t xml:space="preserve">Ciment gris</t>
  </si>
  <si>
    <t xml:space="preserve">7.4</t>
  </si>
  <si>
    <t xml:space="preserve">Ciment colle</t>
  </si>
  <si>
    <t xml:space="preserve">7.5</t>
  </si>
  <si>
    <t xml:space="preserve">7.6</t>
  </si>
  <si>
    <t xml:space="preserve">7.7</t>
  </si>
  <si>
    <t xml:space="preserve">Latex</t>
  </si>
  <si>
    <t xml:space="preserve">7.8</t>
  </si>
  <si>
    <t xml:space="preserve">Peinture classique</t>
  </si>
  <si>
    <t xml:space="preserve">7.9</t>
  </si>
  <si>
    <t xml:space="preserve">Chaux</t>
  </si>
  <si>
    <t xml:space="preserve">Sous total 5</t>
  </si>
  <si>
    <t xml:space="preserve">8    CHARPENTE</t>
  </si>
  <si>
    <t xml:space="preserve">8.1</t>
  </si>
  <si>
    <t xml:space="preserve">Madrier 5/10</t>
  </si>
  <si>
    <t xml:space="preserve">8.2</t>
  </si>
  <si>
    <t xml:space="preserve">Panne 5/5</t>
  </si>
  <si>
    <t xml:space="preserve">8.3</t>
  </si>
  <si>
    <t xml:space="preserve">8.4</t>
  </si>
  <si>
    <t xml:space="preserve">Peinture à bois</t>
  </si>
  <si>
    <t xml:space="preserve">Sous total 6</t>
  </si>
  <si>
    <t xml:space="preserve">9    COUVERTURE</t>
  </si>
  <si>
    <t xml:space="preserve">9.1</t>
  </si>
  <si>
    <t xml:space="preserve">Tôles (BG 28)</t>
  </si>
  <si>
    <t xml:space="preserve">9.2</t>
  </si>
  <si>
    <t xml:space="preserve">Tôles faitière</t>
  </si>
  <si>
    <t xml:space="preserve">pièce</t>
  </si>
  <si>
    <t xml:space="preserve">9.3</t>
  </si>
  <si>
    <t xml:space="preserve">Sous total 7</t>
  </si>
  <si>
    <t xml:space="preserve">10    PIEDS DROIT</t>
  </si>
  <si>
    <t xml:space="preserve">10.1</t>
  </si>
  <si>
    <t xml:space="preserve">Chevron 5/5</t>
  </si>
  <si>
    <t xml:space="preserve">10.2</t>
  </si>
  <si>
    <t xml:space="preserve">Chevron 7/7</t>
  </si>
  <si>
    <t xml:space="preserve">10.3</t>
  </si>
  <si>
    <t xml:space="preserve">Sous total 8</t>
  </si>
  <si>
    <t xml:space="preserve">TOTAL</t>
  </si>
  <si>
    <t xml:space="preserve">Note : TOTAL calculé automatiquement par somme des sous-totaux 1 à 8 (formule Excel). Le document source affichait 17 977,225 USD à ce stade, ce qui ne correspond pas à la somme des sous-totaux qu'il contient lui-même (23 193,945 USD) — probable erreur de calcul dans l'original.</t>
  </si>
  <si>
    <t xml:space="preserve">Imprévue 5%</t>
  </si>
  <si>
    <t xml:space="preserve">Transport des matériaux 5%</t>
  </si>
  <si>
    <t xml:space="preserve">Main d'œuvre 30%</t>
  </si>
  <si>
    <t xml:space="preserve">Honoraire de l'Architecte 8%</t>
  </si>
  <si>
    <t xml:space="preserve">Honoraire de l'Ingénieur 8%</t>
  </si>
  <si>
    <t xml:space="preserve">TOTAL GENERAL</t>
  </si>
  <si>
    <t xml:space="preserve">Nous disons en toute lettre : le montant total ci-dessus, en dollars américains.</t>
  </si>
  <si>
    <t xml:space="preserve">Ir BTP. OTEMAKUMI LOTENGO MERLIN</t>
  </si>
  <si>
    <t xml:space="preserve">Fait à Kinshasa, le 17/06/2023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</si>
</sst>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E7E6E6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rgb="FFFBD5B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5B5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4" t="s">
        <v>7</v>
      </c>
      <c r="C4" s="3" t="s">
        <v>8</v>
      </c>
      <c r="D4" s="5"/>
      <c r="E4" s="5"/>
      <c r="F4" s="5"/>
    </row>
    <row r="5" customFormat="false" ht="15" hidden="false" customHeight="false" outlineLevel="0" collapsed="false">
      <c r="A5" s="3" t="n">
        <v>2</v>
      </c>
      <c r="B5" s="4" t="s">
        <v>9</v>
      </c>
      <c r="C5" s="3" t="s">
        <v>10</v>
      </c>
      <c r="D5" s="6" t="n">
        <v>26.079</v>
      </c>
      <c r="E5" s="6" t="n">
        <v>5</v>
      </c>
      <c r="F5" s="7" t="n">
        <f aca="false">D5*E5</f>
        <v>130.395</v>
      </c>
    </row>
    <row r="6" customFormat="false" ht="15" hidden="false" customHeight="false" outlineLevel="0" collapsed="false">
      <c r="A6" s="3" t="n">
        <v>3</v>
      </c>
      <c r="B6" s="4" t="s">
        <v>11</v>
      </c>
      <c r="C6" s="3" t="s">
        <v>10</v>
      </c>
      <c r="D6" s="6" t="n">
        <v>57.982</v>
      </c>
      <c r="E6" s="6" t="n">
        <v>5</v>
      </c>
      <c r="F6" s="7" t="n">
        <f aca="false">D6*E6</f>
        <v>289.91</v>
      </c>
    </row>
    <row r="7" customFormat="false" ht="15" hidden="false" customHeight="true" outlineLevel="0" collapsed="false">
      <c r="A7" s="8" t="s">
        <v>12</v>
      </c>
      <c r="B7" s="8"/>
      <c r="C7" s="8"/>
      <c r="D7" s="8"/>
      <c r="E7" s="8"/>
      <c r="F7" s="9" t="n">
        <f aca="false">SUM(F4:F6)</f>
        <v>420.305</v>
      </c>
    </row>
    <row r="8" customFormat="false" ht="15" hidden="false" customHeight="true" outlineLevel="0" collapsed="false">
      <c r="A8" s="10" t="s">
        <v>13</v>
      </c>
      <c r="B8" s="10"/>
      <c r="C8" s="10"/>
      <c r="D8" s="10"/>
      <c r="E8" s="10"/>
      <c r="F8" s="10"/>
    </row>
    <row r="9" customFormat="false" ht="15" hidden="false" customHeight="false" outlineLevel="0" collapsed="false">
      <c r="A9" s="3" t="s">
        <v>14</v>
      </c>
      <c r="B9" s="4" t="s">
        <v>15</v>
      </c>
      <c r="C9" s="3" t="s">
        <v>16</v>
      </c>
      <c r="D9" s="6" t="n">
        <v>68</v>
      </c>
      <c r="E9" s="6" t="n">
        <v>10</v>
      </c>
      <c r="F9" s="7" t="n">
        <f aca="false">D9*E9</f>
        <v>680</v>
      </c>
    </row>
    <row r="10" customFormat="false" ht="15" hidden="false" customHeight="false" outlineLevel="0" collapsed="false">
      <c r="A10" s="3" t="s">
        <v>17</v>
      </c>
      <c r="B10" s="4" t="s">
        <v>18</v>
      </c>
      <c r="C10" s="3" t="s">
        <v>10</v>
      </c>
      <c r="D10" s="6" t="n">
        <v>20</v>
      </c>
      <c r="E10" s="6" t="n">
        <v>40</v>
      </c>
      <c r="F10" s="7" t="n">
        <f aca="false">D10*E10</f>
        <v>800</v>
      </c>
    </row>
    <row r="11" customFormat="false" ht="15" hidden="false" customHeight="false" outlineLevel="0" collapsed="false">
      <c r="A11" s="3" t="s">
        <v>19</v>
      </c>
      <c r="B11" s="4" t="s">
        <v>20</v>
      </c>
      <c r="C11" s="3" t="s">
        <v>10</v>
      </c>
      <c r="D11" s="6" t="n">
        <v>15</v>
      </c>
      <c r="E11" s="6" t="n">
        <v>12.5</v>
      </c>
      <c r="F11" s="7" t="n">
        <f aca="false">D11*E11</f>
        <v>187.5</v>
      </c>
    </row>
    <row r="12" customFormat="false" ht="15" hidden="false" customHeight="false" outlineLevel="0" collapsed="false">
      <c r="A12" s="3" t="s">
        <v>21</v>
      </c>
      <c r="B12" s="4" t="s">
        <v>22</v>
      </c>
      <c r="C12" s="3" t="s">
        <v>23</v>
      </c>
      <c r="D12" s="6" t="n">
        <v>2592</v>
      </c>
      <c r="E12" s="6" t="n">
        <v>0.03</v>
      </c>
      <c r="F12" s="7" t="n">
        <f aca="false">D12*E12</f>
        <v>77.76</v>
      </c>
    </row>
    <row r="13" customFormat="false" ht="15" hidden="false" customHeight="false" outlineLevel="0" collapsed="false">
      <c r="A13" s="3" t="s">
        <v>24</v>
      </c>
      <c r="B13" s="4" t="s">
        <v>25</v>
      </c>
      <c r="C13" s="3" t="s">
        <v>26</v>
      </c>
      <c r="D13" s="6" t="n">
        <v>2.241</v>
      </c>
      <c r="E13" s="6" t="n">
        <v>200</v>
      </c>
      <c r="F13" s="7" t="n">
        <f aca="false">D13*E13</f>
        <v>448.2</v>
      </c>
    </row>
    <row r="14" customFormat="false" ht="15" hidden="false" customHeight="false" outlineLevel="0" collapsed="false">
      <c r="A14" s="3" t="s">
        <v>27</v>
      </c>
      <c r="B14" s="4" t="s">
        <v>28</v>
      </c>
      <c r="C14" s="3" t="s">
        <v>29</v>
      </c>
      <c r="D14" s="6" t="n">
        <v>7</v>
      </c>
      <c r="E14" s="6" t="n">
        <v>4.5</v>
      </c>
      <c r="F14" s="7" t="n">
        <f aca="false">D14*E14</f>
        <v>31.5</v>
      </c>
    </row>
    <row r="15" customFormat="false" ht="15" hidden="false" customHeight="false" outlineLevel="0" collapsed="false">
      <c r="A15" s="3" t="s">
        <v>30</v>
      </c>
      <c r="B15" s="4" t="s">
        <v>31</v>
      </c>
      <c r="C15" s="3" t="s">
        <v>32</v>
      </c>
      <c r="D15" s="6" t="n">
        <v>10</v>
      </c>
      <c r="E15" s="6" t="n">
        <v>10</v>
      </c>
      <c r="F15" s="7" t="n">
        <f aca="false">D15*E15</f>
        <v>100</v>
      </c>
    </row>
    <row r="16" customFormat="false" ht="15" hidden="false" customHeight="false" outlineLevel="0" collapsed="false">
      <c r="A16" s="3" t="s">
        <v>33</v>
      </c>
      <c r="B16" s="4" t="s">
        <v>34</v>
      </c>
      <c r="C16" s="3" t="s">
        <v>32</v>
      </c>
      <c r="D16" s="6" t="n">
        <v>3</v>
      </c>
      <c r="E16" s="6" t="n">
        <v>8</v>
      </c>
      <c r="F16" s="7" t="n">
        <f aca="false">D16*E16</f>
        <v>24</v>
      </c>
    </row>
    <row r="17" customFormat="false" ht="15" hidden="false" customHeight="false" outlineLevel="0" collapsed="false">
      <c r="A17" s="3" t="s">
        <v>35</v>
      </c>
      <c r="B17" s="4" t="s">
        <v>36</v>
      </c>
      <c r="C17" s="3" t="s">
        <v>29</v>
      </c>
      <c r="D17" s="6" t="n">
        <v>6</v>
      </c>
      <c r="E17" s="6" t="n">
        <v>2</v>
      </c>
      <c r="F17" s="7" t="n">
        <f aca="false">D17*E17</f>
        <v>12</v>
      </c>
    </row>
    <row r="18" customFormat="false" ht="15" hidden="false" customHeight="false" outlineLevel="0" collapsed="false">
      <c r="A18" s="3" t="s">
        <v>37</v>
      </c>
      <c r="B18" s="4" t="s">
        <v>38</v>
      </c>
      <c r="C18" s="3" t="s">
        <v>10</v>
      </c>
      <c r="D18" s="6" t="n">
        <v>15</v>
      </c>
      <c r="E18" s="6" t="n">
        <v>17</v>
      </c>
      <c r="F18" s="7" t="n">
        <f aca="false">D18*E18</f>
        <v>255</v>
      </c>
    </row>
    <row r="19" customFormat="false" ht="15" hidden="false" customHeight="true" outlineLevel="0" collapsed="false">
      <c r="A19" s="8" t="s">
        <v>39</v>
      </c>
      <c r="B19" s="8"/>
      <c r="C19" s="8"/>
      <c r="D19" s="8"/>
      <c r="E19" s="8"/>
      <c r="F19" s="9" t="n">
        <f aca="false">SUM(F9:F18)</f>
        <v>2615.96</v>
      </c>
    </row>
    <row r="20" customFormat="false" ht="15" hidden="false" customHeight="true" outlineLevel="0" collapsed="false">
      <c r="A20" s="10" t="s">
        <v>40</v>
      </c>
      <c r="B20" s="10"/>
      <c r="C20" s="10"/>
      <c r="D20" s="10"/>
      <c r="E20" s="10"/>
      <c r="F20" s="10"/>
    </row>
    <row r="21" customFormat="false" ht="15" hidden="false" customHeight="false" outlineLevel="0" collapsed="false">
      <c r="A21" s="3" t="s">
        <v>41</v>
      </c>
      <c r="B21" s="4" t="s">
        <v>42</v>
      </c>
      <c r="C21" s="3" t="s">
        <v>32</v>
      </c>
      <c r="D21" s="6" t="n">
        <v>1971</v>
      </c>
      <c r="E21" s="6" t="n">
        <v>0.75</v>
      </c>
      <c r="F21" s="7" t="n">
        <f aca="false">D21*E21</f>
        <v>1478.25</v>
      </c>
    </row>
    <row r="22" customFormat="false" ht="15" hidden="false" customHeight="false" outlineLevel="0" collapsed="false">
      <c r="A22" s="3" t="s">
        <v>43</v>
      </c>
      <c r="B22" s="4" t="s">
        <v>15</v>
      </c>
      <c r="C22" s="3" t="s">
        <v>44</v>
      </c>
      <c r="D22" s="6" t="n">
        <v>123</v>
      </c>
      <c r="E22" s="6" t="n">
        <v>10</v>
      </c>
      <c r="F22" s="7" t="n">
        <f aca="false">D22*E22</f>
        <v>1230</v>
      </c>
    </row>
    <row r="23" customFormat="false" ht="15" hidden="false" customHeight="false" outlineLevel="0" collapsed="false">
      <c r="A23" s="3" t="s">
        <v>45</v>
      </c>
      <c r="B23" s="4" t="s">
        <v>18</v>
      </c>
      <c r="C23" s="3" t="s">
        <v>10</v>
      </c>
      <c r="D23" s="6" t="n">
        <v>10</v>
      </c>
      <c r="E23" s="6" t="n">
        <v>40</v>
      </c>
      <c r="F23" s="7" t="n">
        <f aca="false">D23*E23</f>
        <v>400</v>
      </c>
    </row>
    <row r="24" customFormat="false" ht="15" hidden="false" customHeight="false" outlineLevel="0" collapsed="false">
      <c r="A24" s="3" t="s">
        <v>46</v>
      </c>
      <c r="B24" s="4" t="s">
        <v>20</v>
      </c>
      <c r="C24" s="3" t="s">
        <v>10</v>
      </c>
      <c r="D24" s="6" t="n">
        <v>30</v>
      </c>
      <c r="E24" s="6" t="n">
        <v>12.5</v>
      </c>
      <c r="F24" s="7" t="n">
        <f aca="false">D24*E24</f>
        <v>375</v>
      </c>
    </row>
    <row r="25" customFormat="false" ht="15" hidden="false" customHeight="false" outlineLevel="0" collapsed="false">
      <c r="A25" s="3" t="s">
        <v>47</v>
      </c>
      <c r="B25" s="4" t="s">
        <v>22</v>
      </c>
      <c r="C25" s="3" t="s">
        <v>48</v>
      </c>
      <c r="D25" s="6" t="n">
        <v>3369</v>
      </c>
      <c r="E25" s="6" t="n">
        <v>0.03</v>
      </c>
      <c r="F25" s="7" t="n">
        <f aca="false">D25*E25</f>
        <v>101.07</v>
      </c>
    </row>
    <row r="26" customFormat="false" ht="15" hidden="false" customHeight="false" outlineLevel="0" collapsed="false">
      <c r="A26" s="3" t="s">
        <v>49</v>
      </c>
      <c r="B26" s="4" t="s">
        <v>25</v>
      </c>
      <c r="C26" s="3" t="s">
        <v>26</v>
      </c>
      <c r="D26" s="6" t="n">
        <v>3.942</v>
      </c>
      <c r="E26" s="6" t="n">
        <v>200</v>
      </c>
      <c r="F26" s="7" t="n">
        <f aca="false">D26*E26</f>
        <v>788.4</v>
      </c>
    </row>
    <row r="27" customFormat="false" ht="15" hidden="false" customHeight="false" outlineLevel="0" collapsed="false">
      <c r="A27" s="3" t="s">
        <v>50</v>
      </c>
      <c r="B27" s="4" t="s">
        <v>28</v>
      </c>
      <c r="C27" s="3" t="s">
        <v>51</v>
      </c>
      <c r="D27" s="6" t="n">
        <v>12</v>
      </c>
      <c r="E27" s="6" t="n">
        <v>4.5</v>
      </c>
      <c r="F27" s="7" t="n">
        <f aca="false">D27*E27</f>
        <v>54</v>
      </c>
    </row>
    <row r="28" customFormat="false" ht="15" hidden="false" customHeight="false" outlineLevel="0" collapsed="false">
      <c r="A28" s="3" t="s">
        <v>52</v>
      </c>
      <c r="B28" s="4" t="s">
        <v>31</v>
      </c>
      <c r="C28" s="3" t="s">
        <v>32</v>
      </c>
      <c r="D28" s="6" t="n">
        <v>44</v>
      </c>
      <c r="E28" s="6" t="n">
        <v>10</v>
      </c>
      <c r="F28" s="7" t="n">
        <f aca="false">D28*E28</f>
        <v>440</v>
      </c>
    </row>
    <row r="29" customFormat="false" ht="15" hidden="false" customHeight="false" outlineLevel="0" collapsed="false">
      <c r="A29" s="3" t="s">
        <v>53</v>
      </c>
      <c r="B29" s="4" t="s">
        <v>34</v>
      </c>
      <c r="C29" s="3" t="s">
        <v>32</v>
      </c>
      <c r="D29" s="6" t="n">
        <v>37</v>
      </c>
      <c r="E29" s="6" t="n">
        <v>8</v>
      </c>
      <c r="F29" s="7" t="n">
        <f aca="false">D29*E29</f>
        <v>296</v>
      </c>
    </row>
    <row r="30" customFormat="false" ht="15" hidden="false" customHeight="false" outlineLevel="0" collapsed="false">
      <c r="A30" s="3" t="s">
        <v>54</v>
      </c>
      <c r="B30" s="4" t="s">
        <v>36</v>
      </c>
      <c r="C30" s="3" t="s">
        <v>51</v>
      </c>
      <c r="D30" s="6" t="n">
        <v>27</v>
      </c>
      <c r="E30" s="6" t="n">
        <v>2</v>
      </c>
      <c r="F30" s="7" t="n">
        <f aca="false">D30*E30</f>
        <v>54</v>
      </c>
    </row>
    <row r="31" customFormat="false" ht="15" hidden="false" customHeight="true" outlineLevel="0" collapsed="false">
      <c r="A31" s="8" t="s">
        <v>55</v>
      </c>
      <c r="B31" s="8"/>
      <c r="C31" s="8"/>
      <c r="D31" s="8"/>
      <c r="E31" s="8"/>
      <c r="F31" s="9" t="n">
        <f aca="false">SUM(F21:F30)</f>
        <v>5216.72</v>
      </c>
    </row>
    <row r="32" customFormat="false" ht="15" hidden="false" customHeight="true" outlineLevel="0" collapsed="false">
      <c r="A32" s="10" t="s">
        <v>56</v>
      </c>
      <c r="B32" s="10"/>
      <c r="C32" s="10"/>
      <c r="D32" s="10"/>
      <c r="E32" s="10"/>
      <c r="F32" s="10"/>
    </row>
    <row r="33" customFormat="false" ht="15" hidden="false" customHeight="false" outlineLevel="0" collapsed="false">
      <c r="A33" s="3" t="s">
        <v>57</v>
      </c>
      <c r="B33" s="4" t="s">
        <v>15</v>
      </c>
      <c r="C33" s="3" t="s">
        <v>44</v>
      </c>
      <c r="D33" s="6" t="n">
        <v>74</v>
      </c>
      <c r="E33" s="6" t="n">
        <v>10</v>
      </c>
      <c r="F33" s="7" t="n">
        <f aca="false">D33*E33</f>
        <v>740</v>
      </c>
    </row>
    <row r="34" customFormat="false" ht="15" hidden="false" customHeight="false" outlineLevel="0" collapsed="false">
      <c r="A34" s="3" t="s">
        <v>58</v>
      </c>
      <c r="B34" s="4" t="s">
        <v>18</v>
      </c>
      <c r="C34" s="3" t="s">
        <v>10</v>
      </c>
      <c r="D34" s="6" t="n">
        <v>20</v>
      </c>
      <c r="E34" s="6" t="n">
        <v>40</v>
      </c>
      <c r="F34" s="7" t="n">
        <f aca="false">D34*E34</f>
        <v>800</v>
      </c>
    </row>
    <row r="35" customFormat="false" ht="15" hidden="false" customHeight="false" outlineLevel="0" collapsed="false">
      <c r="A35" s="3" t="s">
        <v>59</v>
      </c>
      <c r="B35" s="4" t="s">
        <v>20</v>
      </c>
      <c r="C35" s="3" t="s">
        <v>10</v>
      </c>
      <c r="D35" s="6" t="n">
        <v>10</v>
      </c>
      <c r="E35" s="6" t="n">
        <v>12.5</v>
      </c>
      <c r="F35" s="7" t="n">
        <f aca="false">D35*E35</f>
        <v>125</v>
      </c>
    </row>
    <row r="36" customFormat="false" ht="15" hidden="false" customHeight="false" outlineLevel="0" collapsed="false">
      <c r="A36" s="3" t="s">
        <v>60</v>
      </c>
      <c r="B36" s="4" t="s">
        <v>22</v>
      </c>
      <c r="C36" s="3" t="s">
        <v>48</v>
      </c>
      <c r="D36" s="6" t="n">
        <v>1838</v>
      </c>
      <c r="E36" s="6" t="n">
        <v>0.03</v>
      </c>
      <c r="F36" s="7" t="n">
        <f aca="false">D36*E36</f>
        <v>55.14</v>
      </c>
    </row>
    <row r="37" customFormat="false" ht="15" hidden="false" customHeight="false" outlineLevel="0" collapsed="false">
      <c r="A37" s="3" t="s">
        <v>61</v>
      </c>
      <c r="B37" s="4" t="s">
        <v>25</v>
      </c>
      <c r="C37" s="3" t="s">
        <v>26</v>
      </c>
      <c r="D37" s="6" t="n">
        <v>7.236</v>
      </c>
      <c r="E37" s="6" t="n">
        <v>200</v>
      </c>
      <c r="F37" s="7" t="n">
        <f aca="false">D37*E37</f>
        <v>1447.2</v>
      </c>
    </row>
    <row r="38" customFormat="false" ht="15" hidden="false" customHeight="false" outlineLevel="0" collapsed="false">
      <c r="A38" s="3" t="s">
        <v>62</v>
      </c>
      <c r="B38" s="4" t="s">
        <v>28</v>
      </c>
      <c r="C38" s="3" t="s">
        <v>51</v>
      </c>
      <c r="D38" s="6" t="n">
        <v>20</v>
      </c>
      <c r="E38" s="6" t="n">
        <v>4.5</v>
      </c>
      <c r="F38" s="7" t="n">
        <f aca="false">D38*E38</f>
        <v>90</v>
      </c>
    </row>
    <row r="39" customFormat="false" ht="15" hidden="false" customHeight="false" outlineLevel="0" collapsed="false">
      <c r="A39" s="3" t="s">
        <v>63</v>
      </c>
      <c r="B39" s="4" t="s">
        <v>31</v>
      </c>
      <c r="C39" s="3" t="s">
        <v>32</v>
      </c>
      <c r="D39" s="6" t="n">
        <v>218</v>
      </c>
      <c r="E39" s="6" t="n">
        <v>10</v>
      </c>
      <c r="F39" s="7" t="n">
        <f aca="false">D39*E39</f>
        <v>2180</v>
      </c>
    </row>
    <row r="40" customFormat="false" ht="15" hidden="false" customHeight="false" outlineLevel="0" collapsed="false">
      <c r="A40" s="3" t="s">
        <v>64</v>
      </c>
      <c r="B40" s="4" t="s">
        <v>36</v>
      </c>
      <c r="C40" s="3" t="s">
        <v>51</v>
      </c>
      <c r="D40" s="6" t="n">
        <v>81</v>
      </c>
      <c r="E40" s="6" t="n">
        <v>2</v>
      </c>
      <c r="F40" s="7" t="n">
        <f aca="false">D40*E40</f>
        <v>162</v>
      </c>
    </row>
    <row r="41" customFormat="false" ht="15" hidden="false" customHeight="true" outlineLevel="0" collapsed="false">
      <c r="A41" s="8" t="s">
        <v>65</v>
      </c>
      <c r="B41" s="8"/>
      <c r="C41" s="8"/>
      <c r="D41" s="8"/>
      <c r="E41" s="8"/>
      <c r="F41" s="9" t="n">
        <f aca="false">SUM(F33:F40)</f>
        <v>5599.34</v>
      </c>
    </row>
    <row r="42" customFormat="false" ht="15" hidden="false" customHeight="true" outlineLevel="0" collapsed="false">
      <c r="A42" s="10" t="s">
        <v>66</v>
      </c>
      <c r="B42" s="10"/>
      <c r="C42" s="10"/>
      <c r="D42" s="10"/>
      <c r="E42" s="10"/>
      <c r="F42" s="10"/>
    </row>
    <row r="43" customFormat="false" ht="15" hidden="false" customHeight="false" outlineLevel="0" collapsed="false">
      <c r="A43" s="3" t="s">
        <v>67</v>
      </c>
      <c r="B43" s="4" t="s">
        <v>68</v>
      </c>
      <c r="C43" s="3" t="s">
        <v>69</v>
      </c>
      <c r="D43" s="6" t="n">
        <v>63</v>
      </c>
      <c r="E43" s="6" t="n">
        <v>20</v>
      </c>
      <c r="F43" s="7" t="n">
        <f aca="false">D43*E43</f>
        <v>1260</v>
      </c>
    </row>
    <row r="44" customFormat="false" ht="15" hidden="false" customHeight="false" outlineLevel="0" collapsed="false">
      <c r="A44" s="3" t="s">
        <v>70</v>
      </c>
      <c r="B44" s="4" t="s">
        <v>71</v>
      </c>
      <c r="C44" s="3" t="s">
        <v>69</v>
      </c>
      <c r="D44" s="6" t="n">
        <v>30</v>
      </c>
      <c r="E44" s="6" t="n">
        <v>20</v>
      </c>
      <c r="F44" s="7" t="n">
        <f aca="false">D44*E44</f>
        <v>600</v>
      </c>
    </row>
    <row r="45" customFormat="false" ht="15" hidden="false" customHeight="false" outlineLevel="0" collapsed="false">
      <c r="A45" s="3" t="s">
        <v>72</v>
      </c>
      <c r="B45" s="4" t="s">
        <v>73</v>
      </c>
      <c r="C45" s="3" t="s">
        <v>44</v>
      </c>
      <c r="D45" s="6" t="n">
        <v>56</v>
      </c>
      <c r="E45" s="6" t="n">
        <v>10</v>
      </c>
      <c r="F45" s="7" t="n">
        <f aca="false">D45*E45</f>
        <v>560</v>
      </c>
    </row>
    <row r="46" customFormat="false" ht="15" hidden="false" customHeight="false" outlineLevel="0" collapsed="false">
      <c r="A46" s="3" t="s">
        <v>74</v>
      </c>
      <c r="B46" s="4" t="s">
        <v>75</v>
      </c>
      <c r="C46" s="3" t="s">
        <v>51</v>
      </c>
      <c r="D46" s="6" t="n">
        <v>634</v>
      </c>
      <c r="E46" s="6" t="n">
        <v>3</v>
      </c>
      <c r="F46" s="7" t="n">
        <f aca="false">D46*E46</f>
        <v>1902</v>
      </c>
    </row>
    <row r="47" customFormat="false" ht="15" hidden="false" customHeight="false" outlineLevel="0" collapsed="false">
      <c r="A47" s="3" t="s">
        <v>76</v>
      </c>
      <c r="B47" s="4" t="s">
        <v>20</v>
      </c>
      <c r="C47" s="3" t="s">
        <v>10</v>
      </c>
      <c r="D47" s="6" t="n">
        <v>20</v>
      </c>
      <c r="E47" s="6" t="n">
        <v>12.5</v>
      </c>
      <c r="F47" s="7" t="n">
        <f aca="false">D47*E47</f>
        <v>250</v>
      </c>
    </row>
    <row r="48" customFormat="false" ht="15" hidden="false" customHeight="false" outlineLevel="0" collapsed="false">
      <c r="A48" s="3" t="s">
        <v>77</v>
      </c>
      <c r="B48" s="4" t="s">
        <v>22</v>
      </c>
      <c r="C48" s="3" t="s">
        <v>48</v>
      </c>
      <c r="D48" s="6" t="n">
        <v>1784</v>
      </c>
      <c r="E48" s="6" t="n">
        <v>0.03</v>
      </c>
      <c r="F48" s="7" t="n">
        <f aca="false">D48*E48</f>
        <v>53.52</v>
      </c>
    </row>
    <row r="49" customFormat="false" ht="15" hidden="false" customHeight="false" outlineLevel="0" collapsed="false">
      <c r="A49" s="3" t="s">
        <v>78</v>
      </c>
      <c r="B49" s="4" t="s">
        <v>79</v>
      </c>
      <c r="C49" s="3" t="s">
        <v>51</v>
      </c>
      <c r="D49" s="6" t="n">
        <v>72</v>
      </c>
      <c r="E49" s="6" t="n">
        <v>12</v>
      </c>
      <c r="F49" s="7" t="n">
        <f aca="false">D49*E49</f>
        <v>864</v>
      </c>
    </row>
    <row r="50" customFormat="false" ht="15" hidden="false" customHeight="false" outlineLevel="0" collapsed="false">
      <c r="A50" s="3" t="s">
        <v>80</v>
      </c>
      <c r="B50" s="4" t="s">
        <v>81</v>
      </c>
      <c r="C50" s="3" t="s">
        <v>23</v>
      </c>
      <c r="D50" s="6" t="n">
        <v>58</v>
      </c>
      <c r="E50" s="6" t="n">
        <v>15</v>
      </c>
      <c r="F50" s="7" t="n">
        <f aca="false">D50*E50</f>
        <v>870</v>
      </c>
    </row>
    <row r="51" customFormat="false" ht="15" hidden="false" customHeight="false" outlineLevel="0" collapsed="false">
      <c r="A51" s="3" t="s">
        <v>82</v>
      </c>
      <c r="B51" s="4" t="s">
        <v>83</v>
      </c>
      <c r="C51" s="3" t="s">
        <v>51</v>
      </c>
      <c r="D51" s="6" t="n">
        <v>96</v>
      </c>
      <c r="E51" s="6" t="n">
        <v>3.5</v>
      </c>
      <c r="F51" s="7" t="n">
        <f aca="false">D51*E51</f>
        <v>336</v>
      </c>
    </row>
    <row r="52" customFormat="false" ht="15" hidden="false" customHeight="true" outlineLevel="0" collapsed="false">
      <c r="A52" s="8" t="s">
        <v>84</v>
      </c>
      <c r="B52" s="8"/>
      <c r="C52" s="8"/>
      <c r="D52" s="8"/>
      <c r="E52" s="8"/>
      <c r="F52" s="9" t="n">
        <f aca="false">SUM(F43:F51)</f>
        <v>6695.52</v>
      </c>
    </row>
    <row r="53" customFormat="false" ht="15" hidden="false" customHeight="true" outlineLevel="0" collapsed="false">
      <c r="A53" s="10" t="s">
        <v>85</v>
      </c>
      <c r="B53" s="10"/>
      <c r="C53" s="10"/>
      <c r="D53" s="10"/>
      <c r="E53" s="10"/>
      <c r="F53" s="10"/>
    </row>
    <row r="54" customFormat="false" ht="15" hidden="false" customHeight="false" outlineLevel="0" collapsed="false">
      <c r="A54" s="3" t="s">
        <v>86</v>
      </c>
      <c r="B54" s="4" t="s">
        <v>87</v>
      </c>
      <c r="C54" s="3" t="s">
        <v>26</v>
      </c>
      <c r="D54" s="6" t="n">
        <v>1.128</v>
      </c>
      <c r="E54" s="6" t="n">
        <v>200</v>
      </c>
      <c r="F54" s="7" t="n">
        <f aca="false">D54*E54</f>
        <v>225.6</v>
      </c>
    </row>
    <row r="55" customFormat="false" ht="15" hidden="false" customHeight="false" outlineLevel="0" collapsed="false">
      <c r="A55" s="3" t="s">
        <v>88</v>
      </c>
      <c r="B55" s="4" t="s">
        <v>89</v>
      </c>
      <c r="C55" s="3" t="s">
        <v>26</v>
      </c>
      <c r="D55" s="6" t="n">
        <v>0.3</v>
      </c>
      <c r="E55" s="6" t="n">
        <v>200</v>
      </c>
      <c r="F55" s="7" t="n">
        <f aca="false">D55*E55</f>
        <v>60</v>
      </c>
    </row>
    <row r="56" customFormat="false" ht="15" hidden="false" customHeight="false" outlineLevel="0" collapsed="false">
      <c r="A56" s="3" t="s">
        <v>90</v>
      </c>
      <c r="B56" s="4" t="s">
        <v>28</v>
      </c>
      <c r="C56" s="3" t="s">
        <v>51</v>
      </c>
      <c r="D56" s="6" t="n">
        <v>25</v>
      </c>
      <c r="E56" s="6" t="n">
        <v>4.5</v>
      </c>
      <c r="F56" s="7" t="n">
        <f aca="false">D56*E56</f>
        <v>112.5</v>
      </c>
    </row>
    <row r="57" customFormat="false" ht="15" hidden="false" customHeight="false" outlineLevel="0" collapsed="false">
      <c r="A57" s="3" t="s">
        <v>91</v>
      </c>
      <c r="B57" s="4" t="s">
        <v>92</v>
      </c>
      <c r="C57" s="3" t="s">
        <v>48</v>
      </c>
      <c r="D57" s="6" t="n">
        <v>16</v>
      </c>
      <c r="E57" s="6" t="n">
        <v>13</v>
      </c>
      <c r="F57" s="7" t="n">
        <f aca="false">D57*E57</f>
        <v>208</v>
      </c>
    </row>
    <row r="58" customFormat="false" ht="15" hidden="false" customHeight="true" outlineLevel="0" collapsed="false">
      <c r="A58" s="8" t="s">
        <v>93</v>
      </c>
      <c r="B58" s="8"/>
      <c r="C58" s="8"/>
      <c r="D58" s="8"/>
      <c r="E58" s="8"/>
      <c r="F58" s="9" t="n">
        <f aca="false">SUM(F54:F57)</f>
        <v>606.1</v>
      </c>
    </row>
    <row r="59" customFormat="false" ht="15" hidden="false" customHeight="true" outlineLevel="0" collapsed="false">
      <c r="A59" s="10" t="s">
        <v>94</v>
      </c>
      <c r="B59" s="10"/>
      <c r="C59" s="10"/>
      <c r="D59" s="10"/>
      <c r="E59" s="10"/>
      <c r="F59" s="10"/>
    </row>
    <row r="60" customFormat="false" ht="15" hidden="false" customHeight="false" outlineLevel="0" collapsed="false">
      <c r="A60" s="3" t="s">
        <v>95</v>
      </c>
      <c r="B60" s="4" t="s">
        <v>96</v>
      </c>
      <c r="C60" s="3" t="s">
        <v>32</v>
      </c>
      <c r="D60" s="6" t="n">
        <v>54</v>
      </c>
      <c r="E60" s="6" t="n">
        <v>11</v>
      </c>
      <c r="F60" s="7" t="n">
        <f aca="false">D60*E60</f>
        <v>594</v>
      </c>
    </row>
    <row r="61" customFormat="false" ht="15" hidden="false" customHeight="false" outlineLevel="0" collapsed="false">
      <c r="A61" s="3" t="s">
        <v>97</v>
      </c>
      <c r="B61" s="4" t="s">
        <v>98</v>
      </c>
      <c r="C61" s="3" t="s">
        <v>99</v>
      </c>
      <c r="D61" s="6" t="n">
        <v>5</v>
      </c>
      <c r="E61" s="6" t="n">
        <v>8</v>
      </c>
      <c r="F61" s="7" t="n">
        <f aca="false">D61*E61</f>
        <v>40</v>
      </c>
    </row>
    <row r="62" customFormat="false" ht="15" hidden="false" customHeight="false" outlineLevel="0" collapsed="false">
      <c r="A62" s="3" t="s">
        <v>100</v>
      </c>
      <c r="B62" s="4" t="s">
        <v>28</v>
      </c>
      <c r="C62" s="3" t="s">
        <v>51</v>
      </c>
      <c r="D62" s="6" t="n">
        <v>11</v>
      </c>
      <c r="E62" s="6" t="n">
        <v>4.5</v>
      </c>
      <c r="F62" s="7" t="n">
        <f aca="false">D62*E62</f>
        <v>49.5</v>
      </c>
    </row>
    <row r="63" customFormat="false" ht="15" hidden="false" customHeight="true" outlineLevel="0" collapsed="false">
      <c r="A63" s="8" t="s">
        <v>101</v>
      </c>
      <c r="B63" s="8"/>
      <c r="C63" s="8"/>
      <c r="D63" s="8"/>
      <c r="E63" s="8"/>
      <c r="F63" s="9" t="n">
        <f aca="false">SUM(F60:F62)</f>
        <v>683.5</v>
      </c>
    </row>
    <row r="64" customFormat="false" ht="15" hidden="false" customHeight="true" outlineLevel="0" collapsed="false">
      <c r="A64" s="10" t="s">
        <v>102</v>
      </c>
      <c r="B64" s="10"/>
      <c r="C64" s="10"/>
      <c r="D64" s="10"/>
      <c r="E64" s="10"/>
      <c r="F64" s="10"/>
    </row>
    <row r="65" customFormat="false" ht="15" hidden="false" customHeight="false" outlineLevel="0" collapsed="false">
      <c r="A65" s="3" t="s">
        <v>103</v>
      </c>
      <c r="B65" s="4" t="s">
        <v>104</v>
      </c>
      <c r="C65" s="3" t="s">
        <v>26</v>
      </c>
      <c r="D65" s="6" t="n">
        <v>1.5</v>
      </c>
      <c r="E65" s="6" t="n">
        <v>200</v>
      </c>
      <c r="F65" s="7" t="n">
        <f aca="false">D65*E65</f>
        <v>300</v>
      </c>
    </row>
    <row r="66" customFormat="false" ht="15" hidden="false" customHeight="false" outlineLevel="0" collapsed="false">
      <c r="A66" s="3" t="s">
        <v>105</v>
      </c>
      <c r="B66" s="4" t="s">
        <v>106</v>
      </c>
      <c r="C66" s="3" t="s">
        <v>26</v>
      </c>
      <c r="D66" s="6" t="n">
        <v>4.9</v>
      </c>
      <c r="E66" s="6" t="n">
        <v>200</v>
      </c>
      <c r="F66" s="7" t="n">
        <f aca="false">D66*E66</f>
        <v>980</v>
      </c>
    </row>
    <row r="67" customFormat="false" ht="15" hidden="false" customHeight="false" outlineLevel="0" collapsed="false">
      <c r="A67" s="3" t="s">
        <v>107</v>
      </c>
      <c r="B67" s="4" t="s">
        <v>28</v>
      </c>
      <c r="C67" s="3" t="s">
        <v>51</v>
      </c>
      <c r="D67" s="6" t="n">
        <v>17</v>
      </c>
      <c r="E67" s="6" t="n">
        <v>4.5</v>
      </c>
      <c r="F67" s="7" t="n">
        <f aca="false">D67*E67</f>
        <v>76.5</v>
      </c>
    </row>
    <row r="68" customFormat="false" ht="15" hidden="false" customHeight="true" outlineLevel="0" collapsed="false">
      <c r="A68" s="8" t="s">
        <v>108</v>
      </c>
      <c r="B68" s="8"/>
      <c r="C68" s="8"/>
      <c r="D68" s="8"/>
      <c r="E68" s="8"/>
      <c r="F68" s="9" t="n">
        <f aca="false">SUM(F65:F67)</f>
        <v>1356.5</v>
      </c>
    </row>
    <row r="69" customFormat="false" ht="15" hidden="false" customHeight="true" outlineLevel="0" collapsed="false">
      <c r="A69" s="11" t="s">
        <v>109</v>
      </c>
      <c r="B69" s="11"/>
      <c r="C69" s="11"/>
      <c r="D69" s="11"/>
      <c r="E69" s="11"/>
      <c r="F69" s="12" t="n">
        <f aca="false">F7+F19+F31+F41+F52+F58+F63+F68</f>
        <v>23193.945</v>
      </c>
    </row>
    <row r="70" customFormat="false" ht="25.5" hidden="false" customHeight="true" outlineLevel="0" collapsed="false">
      <c r="A70" s="13" t="s">
        <v>110</v>
      </c>
      <c r="B70" s="13"/>
      <c r="C70" s="13"/>
      <c r="D70" s="13"/>
      <c r="E70" s="13"/>
      <c r="F70" s="13"/>
    </row>
    <row r="71" customFormat="false" ht="15" hidden="false" customHeight="false" outlineLevel="0" collapsed="false">
      <c r="A71" s="3" t="n">
        <v>11</v>
      </c>
      <c r="B71" s="14" t="s">
        <v>111</v>
      </c>
      <c r="C71" s="14"/>
      <c r="D71" s="14"/>
      <c r="E71" s="14"/>
      <c r="F71" s="7" t="n">
        <f aca="false">$F$69*0.05</f>
        <v>1159.69725</v>
      </c>
    </row>
    <row r="72" customFormat="false" ht="15" hidden="false" customHeight="false" outlineLevel="0" collapsed="false">
      <c r="A72" s="3" t="n">
        <v>12</v>
      </c>
      <c r="B72" s="14" t="s">
        <v>112</v>
      </c>
      <c r="C72" s="14"/>
      <c r="D72" s="14"/>
      <c r="E72" s="14"/>
      <c r="F72" s="7" t="n">
        <f aca="false">$F$69*0.05</f>
        <v>1159.69725</v>
      </c>
    </row>
    <row r="73" customFormat="false" ht="15" hidden="false" customHeight="false" outlineLevel="0" collapsed="false">
      <c r="A73" s="3" t="n">
        <v>13</v>
      </c>
      <c r="B73" s="14" t="s">
        <v>113</v>
      </c>
      <c r="C73" s="14"/>
      <c r="D73" s="14"/>
      <c r="E73" s="14"/>
      <c r="F73" s="7" t="n">
        <f aca="false">$F$69*0.3</f>
        <v>6958.1835</v>
      </c>
    </row>
    <row r="74" customFormat="false" ht="15" hidden="false" customHeight="false" outlineLevel="0" collapsed="false">
      <c r="A74" s="3" t="n">
        <v>14</v>
      </c>
      <c r="B74" s="14" t="s">
        <v>114</v>
      </c>
      <c r="C74" s="14"/>
      <c r="D74" s="14"/>
      <c r="E74" s="14"/>
      <c r="F74" s="7" t="n">
        <f aca="false">$F$69*0.08</f>
        <v>1855.5156</v>
      </c>
    </row>
    <row r="75" customFormat="false" ht="15" hidden="false" customHeight="false" outlineLevel="0" collapsed="false">
      <c r="A75" s="3" t="n">
        <v>15</v>
      </c>
      <c r="B75" s="14" t="s">
        <v>115</v>
      </c>
      <c r="C75" s="14"/>
      <c r="D75" s="14"/>
      <c r="E75" s="14"/>
      <c r="F75" s="7" t="n">
        <f aca="false">$F$69*0.08</f>
        <v>1855.5156</v>
      </c>
    </row>
    <row r="76" customFormat="false" ht="15" hidden="false" customHeight="true" outlineLevel="0" collapsed="false">
      <c r="A76" s="11" t="s">
        <v>116</v>
      </c>
      <c r="B76" s="11"/>
      <c r="C76" s="11"/>
      <c r="D76" s="11"/>
      <c r="E76" s="11"/>
      <c r="F76" s="12" t="n">
        <f aca="false">F69+F71+F72+F73+F74+F75</f>
        <v>36182.5542</v>
      </c>
    </row>
    <row r="78" customFormat="false" ht="15" hidden="false" customHeight="false" outlineLevel="0" collapsed="false">
      <c r="A78" s="15" t="s">
        <v>117</v>
      </c>
      <c r="B78" s="15"/>
      <c r="C78" s="15"/>
      <c r="D78" s="15"/>
      <c r="E78" s="15"/>
      <c r="F78" s="15"/>
    </row>
    <row r="81" customFormat="false" ht="15" hidden="false" customHeight="true" outlineLevel="0" collapsed="false">
      <c r="D81" s="16" t="s">
        <v>118</v>
      </c>
      <c r="E81" s="16"/>
      <c r="F81" s="16"/>
    </row>
    <row r="82" customFormat="false" ht="15" hidden="false" customHeight="true" outlineLevel="0" collapsed="false">
      <c r="D82" s="17" t="s">
        <v>119</v>
      </c>
      <c r="E82" s="17"/>
      <c r="F82" s="17"/>
    </row>
  </sheetData>
  <mergeCells count="27">
    <mergeCell ref="A1:F1"/>
    <mergeCell ref="A7:E7"/>
    <mergeCell ref="A8:F8"/>
    <mergeCell ref="A19:E19"/>
    <mergeCell ref="A20:F20"/>
    <mergeCell ref="A31:E31"/>
    <mergeCell ref="A32:F32"/>
    <mergeCell ref="A41:E41"/>
    <mergeCell ref="A42:F42"/>
    <mergeCell ref="A52:E52"/>
    <mergeCell ref="A53:F53"/>
    <mergeCell ref="A58:E58"/>
    <mergeCell ref="A59:F59"/>
    <mergeCell ref="A63:E63"/>
    <mergeCell ref="A64:F64"/>
    <mergeCell ref="A68:E68"/>
    <mergeCell ref="A69:E69"/>
    <mergeCell ref="A70:F70"/>
    <mergeCell ref="B71:E71"/>
    <mergeCell ref="B72:E72"/>
    <mergeCell ref="B73:E73"/>
    <mergeCell ref="B74:E74"/>
    <mergeCell ref="B75:E75"/>
    <mergeCell ref="A76:E76"/>
    <mergeCell ref="A78:F78"/>
    <mergeCell ref="D81:F81"/>
    <mergeCell ref="D82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2026-08-26T15:40:16Z</dcterms:created>
  <dc:creator>openpyxl</dc:creator>
  <dc:description/>
  <dc:language>en-US</dc:language>
  <cp:lastModifiedBy/>
  <dcterms:modified xsi:type="dcterms:W3CDTF">2026-08-26T15:40:16Z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